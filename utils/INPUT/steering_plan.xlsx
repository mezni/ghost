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rajhi\Documents\ORANGE\Roaming\"/>
    </mc:Choice>
  </mc:AlternateContent>
  <bookViews>
    <workbookView xWindow="-120" yWindow="-120" windowWidth="20730" windowHeight="11160"/>
  </bookViews>
  <sheets>
    <sheet name="Feuil2" sheetId="2" r:id="rId1"/>
  </sheets>
  <externalReferences>
    <externalReference r:id="rId2"/>
  </externalReferences>
  <definedNames>
    <definedName name="_xlnm._FilterDatabase" localSheetId="0" hidden="1">Feuil2!$A$2:$J$290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4" i="2" l="1"/>
  <c r="J325" i="2"/>
  <c r="I324" i="2"/>
  <c r="I325" i="2"/>
  <c r="H324" i="2"/>
  <c r="H325" i="2"/>
  <c r="G324" i="2"/>
  <c r="G325" i="2"/>
  <c r="F324" i="2"/>
  <c r="F325" i="2"/>
  <c r="F322" i="2"/>
  <c r="F323" i="2"/>
  <c r="J322" i="2" l="1"/>
  <c r="J323" i="2"/>
  <c r="I322" i="2"/>
  <c r="I323" i="2"/>
  <c r="H322" i="2"/>
  <c r="H323" i="2"/>
  <c r="G322" i="2"/>
  <c r="G323" i="2"/>
  <c r="E322" i="2"/>
  <c r="E323" i="2"/>
  <c r="J318" i="2"/>
  <c r="J319" i="2"/>
  <c r="J320" i="2"/>
  <c r="J321" i="2"/>
  <c r="I318" i="2"/>
  <c r="I319" i="2"/>
  <c r="I320" i="2"/>
  <c r="I321" i="2"/>
  <c r="H318" i="2"/>
  <c r="H319" i="2"/>
  <c r="H320" i="2"/>
  <c r="H321" i="2"/>
  <c r="G318" i="2"/>
  <c r="G319" i="2"/>
  <c r="G320" i="2"/>
  <c r="G321" i="2"/>
  <c r="F318" i="2"/>
  <c r="F319" i="2"/>
  <c r="F320" i="2"/>
  <c r="F321" i="2"/>
  <c r="E318" i="2"/>
  <c r="E319" i="2"/>
  <c r="E320" i="2"/>
  <c r="E321" i="2"/>
  <c r="F311" i="2"/>
  <c r="F312" i="2"/>
  <c r="F313" i="2"/>
  <c r="F314" i="2"/>
  <c r="F315" i="2"/>
  <c r="F316" i="2"/>
  <c r="F317" i="2"/>
  <c r="E311" i="2"/>
  <c r="E312" i="2"/>
  <c r="E313" i="2"/>
  <c r="E314" i="2"/>
  <c r="E315" i="2"/>
  <c r="E316" i="2"/>
  <c r="E317" i="2"/>
  <c r="G311" i="2"/>
  <c r="G312" i="2"/>
  <c r="G313" i="2"/>
  <c r="G314" i="2"/>
  <c r="G315" i="2"/>
  <c r="G316" i="2"/>
  <c r="G317" i="2"/>
  <c r="G310" i="2"/>
  <c r="H311" i="2"/>
  <c r="H312" i="2"/>
  <c r="H313" i="2"/>
  <c r="H314" i="2"/>
  <c r="H315" i="2"/>
  <c r="H316" i="2"/>
  <c r="H317" i="2"/>
  <c r="I311" i="2"/>
  <c r="I312" i="2"/>
  <c r="I313" i="2"/>
  <c r="I314" i="2"/>
  <c r="I315" i="2"/>
  <c r="I316" i="2"/>
  <c r="I317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I305" i="2"/>
  <c r="I306" i="2"/>
  <c r="I307" i="2"/>
  <c r="I308" i="2"/>
  <c r="I309" i="2"/>
  <c r="I310" i="2"/>
  <c r="H305" i="2"/>
  <c r="H306" i="2"/>
  <c r="H307" i="2"/>
  <c r="H308" i="2"/>
  <c r="H309" i="2"/>
  <c r="H310" i="2"/>
  <c r="H304" i="2"/>
  <c r="G305" i="2"/>
  <c r="G306" i="2"/>
  <c r="G307" i="2"/>
  <c r="G308" i="2"/>
  <c r="G309" i="2"/>
  <c r="F305" i="2"/>
  <c r="F306" i="2"/>
  <c r="F307" i="2"/>
  <c r="F308" i="2"/>
  <c r="F309" i="2"/>
  <c r="F310" i="2"/>
  <c r="E305" i="2"/>
  <c r="E306" i="2"/>
  <c r="E307" i="2"/>
  <c r="E308" i="2"/>
  <c r="E309" i="2"/>
  <c r="E310" i="2"/>
  <c r="J303" i="2"/>
  <c r="J304" i="2"/>
  <c r="I303" i="2"/>
  <c r="I304" i="2"/>
  <c r="H303" i="2"/>
  <c r="G303" i="2"/>
  <c r="G304" i="2"/>
  <c r="F303" i="2"/>
  <c r="F304" i="2"/>
  <c r="E303" i="2"/>
  <c r="E304" i="2"/>
  <c r="J301" i="2"/>
  <c r="J302" i="2"/>
  <c r="I301" i="2"/>
  <c r="I302" i="2"/>
  <c r="H301" i="2"/>
  <c r="H302" i="2"/>
  <c r="G300" i="2"/>
  <c r="G301" i="2"/>
  <c r="G302" i="2"/>
  <c r="F301" i="2"/>
  <c r="F302" i="2"/>
  <c r="E301" i="2"/>
  <c r="E302" i="2"/>
  <c r="J299" i="2"/>
  <c r="J300" i="2"/>
  <c r="I299" i="2"/>
  <c r="I300" i="2"/>
  <c r="H299" i="2"/>
  <c r="H300" i="2"/>
  <c r="G299" i="2"/>
  <c r="F299" i="2"/>
  <c r="F300" i="2"/>
  <c r="E298" i="2"/>
  <c r="E299" i="2"/>
  <c r="E300" i="2"/>
  <c r="J295" i="2"/>
  <c r="J296" i="2"/>
  <c r="J297" i="2"/>
  <c r="J298" i="2"/>
  <c r="I295" i="2"/>
  <c r="I296" i="2"/>
  <c r="I297" i="2"/>
  <c r="I298" i="2"/>
  <c r="H295" i="2"/>
  <c r="H296" i="2"/>
  <c r="H297" i="2"/>
  <c r="H298" i="2"/>
  <c r="G295" i="2"/>
  <c r="G296" i="2"/>
  <c r="G297" i="2"/>
  <c r="G298" i="2"/>
  <c r="F295" i="2"/>
  <c r="F296" i="2"/>
  <c r="F297" i="2"/>
  <c r="F298" i="2"/>
  <c r="E295" i="2"/>
  <c r="E296" i="2"/>
  <c r="E297" i="2"/>
  <c r="J293" i="2"/>
  <c r="J294" i="2"/>
  <c r="I293" i="2"/>
  <c r="I294" i="2"/>
  <c r="H293" i="2"/>
  <c r="H294" i="2"/>
  <c r="G293" i="2"/>
  <c r="G294" i="2"/>
  <c r="F293" i="2"/>
  <c r="F294" i="2"/>
  <c r="E293" i="2"/>
  <c r="E294" i="2"/>
  <c r="J291" i="2"/>
  <c r="J292" i="2"/>
  <c r="I291" i="2"/>
  <c r="I292" i="2"/>
  <c r="H291" i="2"/>
  <c r="H292" i="2"/>
  <c r="G291" i="2"/>
  <c r="G292" i="2"/>
  <c r="F291" i="2"/>
  <c r="F292" i="2"/>
  <c r="E291" i="2"/>
  <c r="E292" i="2"/>
  <c r="G69" i="2" l="1"/>
  <c r="J81" i="2"/>
  <c r="J82" i="2"/>
  <c r="J83" i="2"/>
  <c r="I81" i="2"/>
  <c r="I82" i="2"/>
  <c r="I83" i="2"/>
  <c r="H81" i="2"/>
  <c r="H82" i="2"/>
  <c r="H83" i="2"/>
  <c r="G81" i="2"/>
  <c r="G82" i="2"/>
  <c r="G83" i="2"/>
  <c r="F81" i="2"/>
  <c r="F82" i="2"/>
  <c r="F83" i="2"/>
  <c r="E81" i="2"/>
  <c r="E82" i="2"/>
  <c r="E83" i="2"/>
  <c r="J195" i="2"/>
  <c r="I195" i="2"/>
  <c r="H195" i="2"/>
  <c r="G195" i="2"/>
  <c r="F194" i="2"/>
  <c r="F195" i="2"/>
  <c r="E194" i="2"/>
  <c r="E195" i="2"/>
  <c r="E139" i="2"/>
  <c r="J246" i="2"/>
  <c r="I246" i="2"/>
  <c r="I245" i="2"/>
  <c r="H246" i="2"/>
  <c r="G246" i="2"/>
  <c r="E246" i="2"/>
  <c r="E247" i="2"/>
  <c r="J290" i="2" l="1"/>
  <c r="I290" i="2"/>
  <c r="H290" i="2"/>
  <c r="G290" i="2"/>
  <c r="F290" i="2"/>
  <c r="E290" i="2"/>
  <c r="J289" i="2"/>
  <c r="I289" i="2"/>
  <c r="H289" i="2"/>
  <c r="G289" i="2"/>
  <c r="F289" i="2"/>
  <c r="E289" i="2"/>
  <c r="J288" i="2"/>
  <c r="I288" i="2"/>
  <c r="H288" i="2"/>
  <c r="G288" i="2"/>
  <c r="F288" i="2"/>
  <c r="E288" i="2"/>
  <c r="J287" i="2"/>
  <c r="I287" i="2"/>
  <c r="H287" i="2"/>
  <c r="G287" i="2"/>
  <c r="F287" i="2"/>
  <c r="E287" i="2"/>
  <c r="J286" i="2"/>
  <c r="I286" i="2"/>
  <c r="H286" i="2"/>
  <c r="G286" i="2"/>
  <c r="F286" i="2"/>
  <c r="E286" i="2"/>
  <c r="J285" i="2"/>
  <c r="I285" i="2"/>
  <c r="H285" i="2"/>
  <c r="G285" i="2"/>
  <c r="F285" i="2"/>
  <c r="E285" i="2"/>
  <c r="J284" i="2"/>
  <c r="I284" i="2"/>
  <c r="H284" i="2"/>
  <c r="G284" i="2"/>
  <c r="F284" i="2"/>
  <c r="E284" i="2"/>
  <c r="J283" i="2"/>
  <c r="I283" i="2"/>
  <c r="H283" i="2"/>
  <c r="G283" i="2"/>
  <c r="F283" i="2"/>
  <c r="E283" i="2"/>
  <c r="J282" i="2"/>
  <c r="I282" i="2"/>
  <c r="H282" i="2"/>
  <c r="G282" i="2"/>
  <c r="F282" i="2"/>
  <c r="E282" i="2"/>
  <c r="J281" i="2"/>
  <c r="I281" i="2"/>
  <c r="H281" i="2"/>
  <c r="G281" i="2"/>
  <c r="F281" i="2"/>
  <c r="E281" i="2"/>
  <c r="J280" i="2"/>
  <c r="I280" i="2"/>
  <c r="H280" i="2"/>
  <c r="G280" i="2"/>
  <c r="F280" i="2"/>
  <c r="E280" i="2"/>
  <c r="J279" i="2"/>
  <c r="I279" i="2"/>
  <c r="H279" i="2"/>
  <c r="G279" i="2"/>
  <c r="F279" i="2"/>
  <c r="E279" i="2"/>
  <c r="J278" i="2"/>
  <c r="I278" i="2"/>
  <c r="H278" i="2"/>
  <c r="G278" i="2"/>
  <c r="F278" i="2"/>
  <c r="E278" i="2"/>
  <c r="J277" i="2"/>
  <c r="I277" i="2"/>
  <c r="H277" i="2"/>
  <c r="G277" i="2"/>
  <c r="F277" i="2"/>
  <c r="E277" i="2"/>
  <c r="J276" i="2"/>
  <c r="I276" i="2"/>
  <c r="H276" i="2"/>
  <c r="G276" i="2"/>
  <c r="F276" i="2"/>
  <c r="E276" i="2"/>
  <c r="J275" i="2"/>
  <c r="I275" i="2"/>
  <c r="H275" i="2"/>
  <c r="G275" i="2"/>
  <c r="F275" i="2"/>
  <c r="E275" i="2"/>
  <c r="J274" i="2"/>
  <c r="I274" i="2"/>
  <c r="H274" i="2"/>
  <c r="G274" i="2"/>
  <c r="F274" i="2"/>
  <c r="E274" i="2"/>
  <c r="J273" i="2"/>
  <c r="I273" i="2"/>
  <c r="H273" i="2"/>
  <c r="G273" i="2"/>
  <c r="F273" i="2"/>
  <c r="E273" i="2"/>
  <c r="J272" i="2"/>
  <c r="I272" i="2"/>
  <c r="H272" i="2"/>
  <c r="G272" i="2"/>
  <c r="F272" i="2"/>
  <c r="E272" i="2"/>
  <c r="J271" i="2"/>
  <c r="I271" i="2"/>
  <c r="H271" i="2"/>
  <c r="G271" i="2"/>
  <c r="F271" i="2"/>
  <c r="E271" i="2"/>
  <c r="J270" i="2"/>
  <c r="I270" i="2"/>
  <c r="H270" i="2"/>
  <c r="G270" i="2"/>
  <c r="F270" i="2"/>
  <c r="E270" i="2"/>
  <c r="J269" i="2"/>
  <c r="I269" i="2"/>
  <c r="H269" i="2"/>
  <c r="G269" i="2"/>
  <c r="F269" i="2"/>
  <c r="E269" i="2"/>
  <c r="J268" i="2"/>
  <c r="I268" i="2"/>
  <c r="H268" i="2"/>
  <c r="G268" i="2"/>
  <c r="F268" i="2"/>
  <c r="E268" i="2"/>
  <c r="J267" i="2"/>
  <c r="I267" i="2"/>
  <c r="H267" i="2"/>
  <c r="G267" i="2"/>
  <c r="F267" i="2"/>
  <c r="E267" i="2"/>
  <c r="J266" i="2"/>
  <c r="I266" i="2"/>
  <c r="H266" i="2"/>
  <c r="G266" i="2"/>
  <c r="F266" i="2"/>
  <c r="E266" i="2"/>
  <c r="J265" i="2"/>
  <c r="I265" i="2"/>
  <c r="H265" i="2"/>
  <c r="G265" i="2"/>
  <c r="F265" i="2"/>
  <c r="E265" i="2"/>
  <c r="J264" i="2"/>
  <c r="I264" i="2"/>
  <c r="H264" i="2"/>
  <c r="G264" i="2"/>
  <c r="F264" i="2"/>
  <c r="E264" i="2"/>
  <c r="J263" i="2"/>
  <c r="I263" i="2"/>
  <c r="H263" i="2"/>
  <c r="G263" i="2"/>
  <c r="F263" i="2"/>
  <c r="E263" i="2"/>
  <c r="J262" i="2"/>
  <c r="I262" i="2"/>
  <c r="H262" i="2"/>
  <c r="G262" i="2"/>
  <c r="F262" i="2"/>
  <c r="E262" i="2"/>
  <c r="J261" i="2"/>
  <c r="I261" i="2"/>
  <c r="H261" i="2"/>
  <c r="G261" i="2"/>
  <c r="F261" i="2"/>
  <c r="E261" i="2"/>
  <c r="J260" i="2"/>
  <c r="I260" i="2"/>
  <c r="H260" i="2"/>
  <c r="G260" i="2"/>
  <c r="F260" i="2"/>
  <c r="E260" i="2"/>
  <c r="J259" i="2"/>
  <c r="I259" i="2"/>
  <c r="H259" i="2"/>
  <c r="G259" i="2"/>
  <c r="F259" i="2"/>
  <c r="E259" i="2"/>
  <c r="J258" i="2"/>
  <c r="I258" i="2"/>
  <c r="H258" i="2"/>
  <c r="G258" i="2"/>
  <c r="F258" i="2"/>
  <c r="E258" i="2"/>
  <c r="J257" i="2"/>
  <c r="I257" i="2"/>
  <c r="H257" i="2"/>
  <c r="G257" i="2"/>
  <c r="F257" i="2"/>
  <c r="E257" i="2"/>
  <c r="J256" i="2"/>
  <c r="I256" i="2"/>
  <c r="H256" i="2"/>
  <c r="G256" i="2"/>
  <c r="F256" i="2"/>
  <c r="E256" i="2"/>
  <c r="J255" i="2"/>
  <c r="I255" i="2"/>
  <c r="H255" i="2"/>
  <c r="G255" i="2"/>
  <c r="F255" i="2"/>
  <c r="E255" i="2"/>
  <c r="J254" i="2"/>
  <c r="I254" i="2"/>
  <c r="H254" i="2"/>
  <c r="G254" i="2"/>
  <c r="F254" i="2"/>
  <c r="E254" i="2"/>
  <c r="J253" i="2"/>
  <c r="I253" i="2"/>
  <c r="H253" i="2"/>
  <c r="G253" i="2"/>
  <c r="F253" i="2"/>
  <c r="E253" i="2"/>
  <c r="J252" i="2"/>
  <c r="I252" i="2"/>
  <c r="H252" i="2"/>
  <c r="G252" i="2"/>
  <c r="F252" i="2"/>
  <c r="E252" i="2"/>
  <c r="J251" i="2"/>
  <c r="I251" i="2"/>
  <c r="H251" i="2"/>
  <c r="G251" i="2"/>
  <c r="F251" i="2"/>
  <c r="E251" i="2"/>
  <c r="J250" i="2"/>
  <c r="I250" i="2"/>
  <c r="H250" i="2"/>
  <c r="G250" i="2"/>
  <c r="F250" i="2"/>
  <c r="E250" i="2"/>
  <c r="J249" i="2"/>
  <c r="I249" i="2"/>
  <c r="H249" i="2"/>
  <c r="G249" i="2"/>
  <c r="F249" i="2"/>
  <c r="E249" i="2"/>
  <c r="J248" i="2"/>
  <c r="I248" i="2"/>
  <c r="H248" i="2"/>
  <c r="G248" i="2"/>
  <c r="F248" i="2"/>
  <c r="E248" i="2"/>
  <c r="J247" i="2"/>
  <c r="I247" i="2"/>
  <c r="H247" i="2"/>
  <c r="G247" i="2"/>
  <c r="J245" i="2"/>
  <c r="H245" i="2"/>
  <c r="G245" i="2"/>
  <c r="E245" i="2"/>
  <c r="J244" i="2"/>
  <c r="I244" i="2"/>
  <c r="H244" i="2"/>
  <c r="G244" i="2"/>
  <c r="F244" i="2"/>
  <c r="E244" i="2"/>
  <c r="J243" i="2"/>
  <c r="I243" i="2"/>
  <c r="H243" i="2"/>
  <c r="G243" i="2"/>
  <c r="F243" i="2"/>
  <c r="E243" i="2"/>
  <c r="J242" i="2"/>
  <c r="I242" i="2"/>
  <c r="H242" i="2"/>
  <c r="G242" i="2"/>
  <c r="F242" i="2"/>
  <c r="E242" i="2"/>
  <c r="J241" i="2"/>
  <c r="I241" i="2"/>
  <c r="H241" i="2"/>
  <c r="G241" i="2"/>
  <c r="F241" i="2"/>
  <c r="E241" i="2"/>
  <c r="J240" i="2"/>
  <c r="I240" i="2"/>
  <c r="H240" i="2"/>
  <c r="G240" i="2"/>
  <c r="F240" i="2"/>
  <c r="E240" i="2"/>
  <c r="J239" i="2"/>
  <c r="I239" i="2"/>
  <c r="H239" i="2"/>
  <c r="G239" i="2"/>
  <c r="F239" i="2"/>
  <c r="E239" i="2"/>
  <c r="J238" i="2"/>
  <c r="I238" i="2"/>
  <c r="H238" i="2"/>
  <c r="G238" i="2"/>
  <c r="F238" i="2"/>
  <c r="E238" i="2"/>
  <c r="J237" i="2"/>
  <c r="I237" i="2"/>
  <c r="H237" i="2"/>
  <c r="G237" i="2"/>
  <c r="F237" i="2"/>
  <c r="E237" i="2"/>
  <c r="J236" i="2"/>
  <c r="I236" i="2"/>
  <c r="H236" i="2"/>
  <c r="G236" i="2"/>
  <c r="F236" i="2"/>
  <c r="E236" i="2"/>
  <c r="J235" i="2"/>
  <c r="I235" i="2"/>
  <c r="H235" i="2"/>
  <c r="G235" i="2"/>
  <c r="F235" i="2"/>
  <c r="E235" i="2"/>
  <c r="J234" i="2"/>
  <c r="I234" i="2"/>
  <c r="H234" i="2"/>
  <c r="G234" i="2"/>
  <c r="F234" i="2"/>
  <c r="E234" i="2"/>
  <c r="J233" i="2"/>
  <c r="I233" i="2"/>
  <c r="H233" i="2"/>
  <c r="G233" i="2"/>
  <c r="F233" i="2"/>
  <c r="E233" i="2"/>
  <c r="J232" i="2"/>
  <c r="I232" i="2"/>
  <c r="H232" i="2"/>
  <c r="G232" i="2"/>
  <c r="F232" i="2"/>
  <c r="E232" i="2"/>
  <c r="J231" i="2"/>
  <c r="I231" i="2"/>
  <c r="H231" i="2"/>
  <c r="G231" i="2"/>
  <c r="F231" i="2"/>
  <c r="E231" i="2"/>
  <c r="J230" i="2"/>
  <c r="I230" i="2"/>
  <c r="H230" i="2"/>
  <c r="G230" i="2"/>
  <c r="F230" i="2"/>
  <c r="E230" i="2"/>
  <c r="J229" i="2"/>
  <c r="I229" i="2"/>
  <c r="H229" i="2"/>
  <c r="G229" i="2"/>
  <c r="F229" i="2"/>
  <c r="E229" i="2"/>
  <c r="J228" i="2"/>
  <c r="I228" i="2"/>
  <c r="H228" i="2"/>
  <c r="G228" i="2"/>
  <c r="F228" i="2"/>
  <c r="E228" i="2"/>
  <c r="J227" i="2"/>
  <c r="I227" i="2"/>
  <c r="H227" i="2"/>
  <c r="G227" i="2"/>
  <c r="F227" i="2"/>
  <c r="E227" i="2"/>
  <c r="J226" i="2"/>
  <c r="I226" i="2"/>
  <c r="H226" i="2"/>
  <c r="G226" i="2"/>
  <c r="F226" i="2"/>
  <c r="E226" i="2"/>
  <c r="J225" i="2"/>
  <c r="I225" i="2"/>
  <c r="H225" i="2"/>
  <c r="G225" i="2"/>
  <c r="F225" i="2"/>
  <c r="E225" i="2"/>
  <c r="J224" i="2"/>
  <c r="I224" i="2"/>
  <c r="H224" i="2"/>
  <c r="G224" i="2"/>
  <c r="F224" i="2"/>
  <c r="E224" i="2"/>
  <c r="J223" i="2"/>
  <c r="I223" i="2"/>
  <c r="H223" i="2"/>
  <c r="G223" i="2"/>
  <c r="F223" i="2"/>
  <c r="E223" i="2"/>
  <c r="J222" i="2"/>
  <c r="I222" i="2"/>
  <c r="H222" i="2"/>
  <c r="G222" i="2"/>
  <c r="F222" i="2"/>
  <c r="E222" i="2"/>
  <c r="J221" i="2"/>
  <c r="I221" i="2"/>
  <c r="H221" i="2"/>
  <c r="G221" i="2"/>
  <c r="F221" i="2"/>
  <c r="E221" i="2"/>
  <c r="J220" i="2"/>
  <c r="I220" i="2"/>
  <c r="H220" i="2"/>
  <c r="G220" i="2"/>
  <c r="F220" i="2"/>
  <c r="E220" i="2"/>
  <c r="J219" i="2"/>
  <c r="I219" i="2"/>
  <c r="H219" i="2"/>
  <c r="G219" i="2"/>
  <c r="F219" i="2"/>
  <c r="E219" i="2"/>
  <c r="J218" i="2"/>
  <c r="I218" i="2"/>
  <c r="H218" i="2"/>
  <c r="G218" i="2"/>
  <c r="F218" i="2"/>
  <c r="E218" i="2"/>
  <c r="J217" i="2"/>
  <c r="I217" i="2"/>
  <c r="H217" i="2"/>
  <c r="G217" i="2"/>
  <c r="F217" i="2"/>
  <c r="E217" i="2"/>
  <c r="J215" i="2"/>
  <c r="I215" i="2"/>
  <c r="H215" i="2"/>
  <c r="G215" i="2"/>
  <c r="F215" i="2"/>
  <c r="E215" i="2"/>
  <c r="J214" i="2"/>
  <c r="I214" i="2"/>
  <c r="H214" i="2"/>
  <c r="G214" i="2"/>
  <c r="F214" i="2"/>
  <c r="E214" i="2"/>
  <c r="J213" i="2"/>
  <c r="I213" i="2"/>
  <c r="H213" i="2"/>
  <c r="G213" i="2"/>
  <c r="F213" i="2"/>
  <c r="E213" i="2"/>
  <c r="J212" i="2"/>
  <c r="I212" i="2"/>
  <c r="H212" i="2"/>
  <c r="G212" i="2"/>
  <c r="F212" i="2"/>
  <c r="E212" i="2"/>
  <c r="J211" i="2"/>
  <c r="I211" i="2"/>
  <c r="H211" i="2"/>
  <c r="G211" i="2"/>
  <c r="F211" i="2"/>
  <c r="E211" i="2"/>
  <c r="J210" i="2"/>
  <c r="I210" i="2"/>
  <c r="H210" i="2"/>
  <c r="G210" i="2"/>
  <c r="F210" i="2"/>
  <c r="E210" i="2"/>
  <c r="J209" i="2"/>
  <c r="I209" i="2"/>
  <c r="H209" i="2"/>
  <c r="G209" i="2"/>
  <c r="F209" i="2"/>
  <c r="E209" i="2"/>
  <c r="J208" i="2"/>
  <c r="I208" i="2"/>
  <c r="H208" i="2"/>
  <c r="G208" i="2"/>
  <c r="F208" i="2"/>
  <c r="E208" i="2"/>
  <c r="J207" i="2"/>
  <c r="I207" i="2"/>
  <c r="H207" i="2"/>
  <c r="G207" i="2"/>
  <c r="F207" i="2"/>
  <c r="E207" i="2"/>
  <c r="J206" i="2"/>
  <c r="I206" i="2"/>
  <c r="H206" i="2"/>
  <c r="G206" i="2"/>
  <c r="F206" i="2"/>
  <c r="E206" i="2"/>
  <c r="J205" i="2"/>
  <c r="I205" i="2"/>
  <c r="H205" i="2"/>
  <c r="G205" i="2"/>
  <c r="F205" i="2"/>
  <c r="E205" i="2"/>
  <c r="J204" i="2"/>
  <c r="I204" i="2"/>
  <c r="H204" i="2"/>
  <c r="G204" i="2"/>
  <c r="F204" i="2"/>
  <c r="E204" i="2"/>
  <c r="J203" i="2"/>
  <c r="I203" i="2"/>
  <c r="H203" i="2"/>
  <c r="G203" i="2"/>
  <c r="F203" i="2"/>
  <c r="E203" i="2"/>
  <c r="J202" i="2"/>
  <c r="I202" i="2"/>
  <c r="H202" i="2"/>
  <c r="G202" i="2"/>
  <c r="F202" i="2"/>
  <c r="E202" i="2"/>
  <c r="J201" i="2"/>
  <c r="I201" i="2"/>
  <c r="H201" i="2"/>
  <c r="G201" i="2"/>
  <c r="F201" i="2"/>
  <c r="E201" i="2"/>
  <c r="J200" i="2"/>
  <c r="I200" i="2"/>
  <c r="H200" i="2"/>
  <c r="G200" i="2"/>
  <c r="F200" i="2"/>
  <c r="E200" i="2"/>
  <c r="J199" i="2"/>
  <c r="I199" i="2"/>
  <c r="H199" i="2"/>
  <c r="G199" i="2"/>
  <c r="F199" i="2"/>
  <c r="E199" i="2"/>
  <c r="J198" i="2"/>
  <c r="I198" i="2"/>
  <c r="H198" i="2"/>
  <c r="G198" i="2"/>
  <c r="F198" i="2"/>
  <c r="E198" i="2"/>
  <c r="J197" i="2"/>
  <c r="I197" i="2"/>
  <c r="H197" i="2"/>
  <c r="G197" i="2"/>
  <c r="F197" i="2"/>
  <c r="E197" i="2"/>
  <c r="J196" i="2"/>
  <c r="I196" i="2"/>
  <c r="H196" i="2"/>
  <c r="G196" i="2"/>
  <c r="F196" i="2"/>
  <c r="E196" i="2"/>
  <c r="J194" i="2"/>
  <c r="I194" i="2"/>
  <c r="H194" i="2"/>
  <c r="G194" i="2"/>
  <c r="J193" i="2"/>
  <c r="I193" i="2"/>
  <c r="H193" i="2"/>
  <c r="G193" i="2"/>
  <c r="F193" i="2"/>
  <c r="E193" i="2"/>
  <c r="J192" i="2"/>
  <c r="I192" i="2"/>
  <c r="H192" i="2"/>
  <c r="G192" i="2"/>
  <c r="F192" i="2"/>
  <c r="E192" i="2"/>
  <c r="J191" i="2"/>
  <c r="I191" i="2"/>
  <c r="H191" i="2"/>
  <c r="G191" i="2"/>
  <c r="F191" i="2"/>
  <c r="E191" i="2"/>
  <c r="J190" i="2"/>
  <c r="I190" i="2"/>
  <c r="H190" i="2"/>
  <c r="G190" i="2"/>
  <c r="F190" i="2"/>
  <c r="E190" i="2"/>
  <c r="J189" i="2"/>
  <c r="I189" i="2"/>
  <c r="H189" i="2"/>
  <c r="G189" i="2"/>
  <c r="F189" i="2"/>
  <c r="E189" i="2"/>
  <c r="J188" i="2"/>
  <c r="I188" i="2"/>
  <c r="H188" i="2"/>
  <c r="G188" i="2"/>
  <c r="F188" i="2"/>
  <c r="E188" i="2"/>
  <c r="J187" i="2"/>
  <c r="I187" i="2"/>
  <c r="H187" i="2"/>
  <c r="G187" i="2"/>
  <c r="F187" i="2"/>
  <c r="E187" i="2"/>
  <c r="J186" i="2"/>
  <c r="I186" i="2"/>
  <c r="H186" i="2"/>
  <c r="G186" i="2"/>
  <c r="F186" i="2"/>
  <c r="E186" i="2"/>
  <c r="J185" i="2"/>
  <c r="I185" i="2"/>
  <c r="H185" i="2"/>
  <c r="G185" i="2"/>
  <c r="F185" i="2"/>
  <c r="E185" i="2"/>
  <c r="J184" i="2"/>
  <c r="I184" i="2"/>
  <c r="H184" i="2"/>
  <c r="G184" i="2"/>
  <c r="F184" i="2"/>
  <c r="E184" i="2"/>
  <c r="J183" i="2"/>
  <c r="I183" i="2"/>
  <c r="H183" i="2"/>
  <c r="G183" i="2"/>
  <c r="F183" i="2"/>
  <c r="E183" i="2"/>
  <c r="J182" i="2"/>
  <c r="I182" i="2"/>
  <c r="H182" i="2"/>
  <c r="G182" i="2"/>
  <c r="F182" i="2"/>
  <c r="E182" i="2"/>
  <c r="J181" i="2"/>
  <c r="I181" i="2"/>
  <c r="H181" i="2"/>
  <c r="G181" i="2"/>
  <c r="F181" i="2"/>
  <c r="E181" i="2"/>
  <c r="J180" i="2"/>
  <c r="I180" i="2"/>
  <c r="H180" i="2"/>
  <c r="G180" i="2"/>
  <c r="F180" i="2"/>
  <c r="E180" i="2"/>
  <c r="J179" i="2"/>
  <c r="I179" i="2"/>
  <c r="H179" i="2"/>
  <c r="G179" i="2"/>
  <c r="F179" i="2"/>
  <c r="E179" i="2"/>
  <c r="J178" i="2"/>
  <c r="I178" i="2"/>
  <c r="H178" i="2"/>
  <c r="G178" i="2"/>
  <c r="F178" i="2"/>
  <c r="E178" i="2"/>
  <c r="J177" i="2"/>
  <c r="I177" i="2"/>
  <c r="H177" i="2"/>
  <c r="G177" i="2"/>
  <c r="F177" i="2"/>
  <c r="E177" i="2"/>
  <c r="J176" i="2"/>
  <c r="I176" i="2"/>
  <c r="H176" i="2"/>
  <c r="G176" i="2"/>
  <c r="F176" i="2"/>
  <c r="E176" i="2"/>
  <c r="J175" i="2"/>
  <c r="I175" i="2"/>
  <c r="H175" i="2"/>
  <c r="G175" i="2"/>
  <c r="F175" i="2"/>
  <c r="E175" i="2"/>
  <c r="J174" i="2"/>
  <c r="I174" i="2"/>
  <c r="H174" i="2"/>
  <c r="G174" i="2"/>
  <c r="F174" i="2"/>
  <c r="E174" i="2"/>
  <c r="J173" i="2"/>
  <c r="I173" i="2"/>
  <c r="H173" i="2"/>
  <c r="G173" i="2"/>
  <c r="F173" i="2"/>
  <c r="E173" i="2"/>
  <c r="J172" i="2"/>
  <c r="I172" i="2"/>
  <c r="H172" i="2"/>
  <c r="G172" i="2"/>
  <c r="F172" i="2"/>
  <c r="E172" i="2"/>
  <c r="J171" i="2"/>
  <c r="I171" i="2"/>
  <c r="H171" i="2"/>
  <c r="G171" i="2"/>
  <c r="F171" i="2"/>
  <c r="E171" i="2"/>
  <c r="J170" i="2"/>
  <c r="I170" i="2"/>
  <c r="H170" i="2"/>
  <c r="G170" i="2"/>
  <c r="F170" i="2"/>
  <c r="E170" i="2"/>
  <c r="J169" i="2"/>
  <c r="I169" i="2"/>
  <c r="H169" i="2"/>
  <c r="G169" i="2"/>
  <c r="F169" i="2"/>
  <c r="E169" i="2"/>
  <c r="J168" i="2"/>
  <c r="I168" i="2"/>
  <c r="H168" i="2"/>
  <c r="G168" i="2"/>
  <c r="F168" i="2"/>
  <c r="E168" i="2"/>
  <c r="J167" i="2"/>
  <c r="I167" i="2"/>
  <c r="H167" i="2"/>
  <c r="G167" i="2"/>
  <c r="F167" i="2"/>
  <c r="E167" i="2"/>
  <c r="J166" i="2"/>
  <c r="I166" i="2"/>
  <c r="H166" i="2"/>
  <c r="G166" i="2"/>
  <c r="F166" i="2"/>
  <c r="E166" i="2"/>
  <c r="J165" i="2"/>
  <c r="I165" i="2"/>
  <c r="H165" i="2"/>
  <c r="G165" i="2"/>
  <c r="F165" i="2"/>
  <c r="E165" i="2"/>
  <c r="J164" i="2"/>
  <c r="I164" i="2"/>
  <c r="H164" i="2"/>
  <c r="G164" i="2"/>
  <c r="F164" i="2"/>
  <c r="E164" i="2"/>
  <c r="J163" i="2"/>
  <c r="I163" i="2"/>
  <c r="H163" i="2"/>
  <c r="G163" i="2"/>
  <c r="F163" i="2"/>
  <c r="E163" i="2"/>
  <c r="J162" i="2"/>
  <c r="I162" i="2"/>
  <c r="H162" i="2"/>
  <c r="G162" i="2"/>
  <c r="F162" i="2"/>
  <c r="E162" i="2"/>
  <c r="J161" i="2"/>
  <c r="I161" i="2"/>
  <c r="H161" i="2"/>
  <c r="G161" i="2"/>
  <c r="F161" i="2"/>
  <c r="E161" i="2"/>
  <c r="J160" i="2"/>
  <c r="I160" i="2"/>
  <c r="H160" i="2"/>
  <c r="G160" i="2"/>
  <c r="F160" i="2"/>
  <c r="E160" i="2"/>
  <c r="J159" i="2"/>
  <c r="I159" i="2"/>
  <c r="H159" i="2"/>
  <c r="G159" i="2"/>
  <c r="F159" i="2"/>
  <c r="E159" i="2"/>
  <c r="J158" i="2"/>
  <c r="I158" i="2"/>
  <c r="H158" i="2"/>
  <c r="G158" i="2"/>
  <c r="F158" i="2"/>
  <c r="E158" i="2"/>
  <c r="J157" i="2"/>
  <c r="I157" i="2"/>
  <c r="H157" i="2"/>
  <c r="G157" i="2"/>
  <c r="F157" i="2"/>
  <c r="E157" i="2"/>
  <c r="J156" i="2"/>
  <c r="I156" i="2"/>
  <c r="H156" i="2"/>
  <c r="G156" i="2"/>
  <c r="F156" i="2"/>
  <c r="E156" i="2"/>
  <c r="J155" i="2"/>
  <c r="I155" i="2"/>
  <c r="H155" i="2"/>
  <c r="G155" i="2"/>
  <c r="F155" i="2"/>
  <c r="E155" i="2"/>
  <c r="J154" i="2"/>
  <c r="I154" i="2"/>
  <c r="H154" i="2"/>
  <c r="G154" i="2"/>
  <c r="F154" i="2"/>
  <c r="E154" i="2"/>
  <c r="J153" i="2"/>
  <c r="I153" i="2"/>
  <c r="H153" i="2"/>
  <c r="G153" i="2"/>
  <c r="F153" i="2"/>
  <c r="E153" i="2"/>
  <c r="J152" i="2"/>
  <c r="I152" i="2"/>
  <c r="H152" i="2"/>
  <c r="G152" i="2"/>
  <c r="F152" i="2"/>
  <c r="E152" i="2"/>
  <c r="J151" i="2"/>
  <c r="I151" i="2"/>
  <c r="H151" i="2"/>
  <c r="G151" i="2"/>
  <c r="F151" i="2"/>
  <c r="E151" i="2"/>
  <c r="J150" i="2"/>
  <c r="I150" i="2"/>
  <c r="H150" i="2"/>
  <c r="G150" i="2"/>
  <c r="F150" i="2"/>
  <c r="E150" i="2"/>
  <c r="J149" i="2"/>
  <c r="I149" i="2"/>
  <c r="H149" i="2"/>
  <c r="G149" i="2"/>
  <c r="F149" i="2"/>
  <c r="E149" i="2"/>
  <c r="J148" i="2"/>
  <c r="I148" i="2"/>
  <c r="H148" i="2"/>
  <c r="G148" i="2"/>
  <c r="F148" i="2"/>
  <c r="E148" i="2"/>
  <c r="J147" i="2"/>
  <c r="I147" i="2"/>
  <c r="H147" i="2"/>
  <c r="G147" i="2"/>
  <c r="F147" i="2"/>
  <c r="E147" i="2"/>
  <c r="J146" i="2"/>
  <c r="I146" i="2"/>
  <c r="H146" i="2"/>
  <c r="G146" i="2"/>
  <c r="F146" i="2"/>
  <c r="E146" i="2"/>
  <c r="J145" i="2"/>
  <c r="I145" i="2"/>
  <c r="H145" i="2"/>
  <c r="G145" i="2"/>
  <c r="F145" i="2"/>
  <c r="E145" i="2"/>
  <c r="J144" i="2"/>
  <c r="I144" i="2"/>
  <c r="H144" i="2"/>
  <c r="G144" i="2"/>
  <c r="F144" i="2"/>
  <c r="E144" i="2"/>
  <c r="J143" i="2"/>
  <c r="I143" i="2"/>
  <c r="H143" i="2"/>
  <c r="G143" i="2"/>
  <c r="F143" i="2"/>
  <c r="E143" i="2"/>
  <c r="J142" i="2"/>
  <c r="I142" i="2"/>
  <c r="H142" i="2"/>
  <c r="G142" i="2"/>
  <c r="F142" i="2"/>
  <c r="E142" i="2"/>
  <c r="J141" i="2"/>
  <c r="I141" i="2"/>
  <c r="H141" i="2"/>
  <c r="G141" i="2"/>
  <c r="F141" i="2"/>
  <c r="E141" i="2"/>
  <c r="J140" i="2"/>
  <c r="I140" i="2"/>
  <c r="H140" i="2"/>
  <c r="G140" i="2"/>
  <c r="F140" i="2"/>
  <c r="E140" i="2"/>
  <c r="J139" i="2"/>
  <c r="I139" i="2"/>
  <c r="H139" i="2"/>
  <c r="G139" i="2"/>
  <c r="F139" i="2"/>
  <c r="J138" i="2"/>
  <c r="I138" i="2"/>
  <c r="H138" i="2"/>
  <c r="G138" i="2"/>
  <c r="F138" i="2"/>
  <c r="E138" i="2"/>
  <c r="J137" i="2"/>
  <c r="I137" i="2"/>
  <c r="H137" i="2"/>
  <c r="G137" i="2"/>
  <c r="F137" i="2"/>
  <c r="E137" i="2"/>
  <c r="J136" i="2"/>
  <c r="I136" i="2"/>
  <c r="H136" i="2"/>
  <c r="G136" i="2"/>
  <c r="F136" i="2"/>
  <c r="E136" i="2"/>
  <c r="J135" i="2"/>
  <c r="I135" i="2"/>
  <c r="H135" i="2"/>
  <c r="G135" i="2"/>
  <c r="F135" i="2"/>
  <c r="E135" i="2"/>
  <c r="J134" i="2"/>
  <c r="I134" i="2"/>
  <c r="H134" i="2"/>
  <c r="G134" i="2"/>
  <c r="F134" i="2"/>
  <c r="E134" i="2"/>
  <c r="J133" i="2"/>
  <c r="I133" i="2"/>
  <c r="H133" i="2"/>
  <c r="G133" i="2"/>
  <c r="F133" i="2"/>
  <c r="E133" i="2"/>
  <c r="J132" i="2"/>
  <c r="I132" i="2"/>
  <c r="H132" i="2"/>
  <c r="G132" i="2"/>
  <c r="F132" i="2"/>
  <c r="E132" i="2"/>
  <c r="J131" i="2"/>
  <c r="I131" i="2"/>
  <c r="H131" i="2"/>
  <c r="G131" i="2"/>
  <c r="F131" i="2"/>
  <c r="E131" i="2"/>
  <c r="J130" i="2"/>
  <c r="I130" i="2"/>
  <c r="H130" i="2"/>
  <c r="G130" i="2"/>
  <c r="F130" i="2"/>
  <c r="E130" i="2"/>
  <c r="J129" i="2"/>
  <c r="I129" i="2"/>
  <c r="H129" i="2"/>
  <c r="G129" i="2"/>
  <c r="F129" i="2"/>
  <c r="E129" i="2"/>
  <c r="J128" i="2"/>
  <c r="I128" i="2"/>
  <c r="H128" i="2"/>
  <c r="G128" i="2"/>
  <c r="F128" i="2"/>
  <c r="E128" i="2"/>
  <c r="J127" i="2"/>
  <c r="I127" i="2"/>
  <c r="H127" i="2"/>
  <c r="G127" i="2"/>
  <c r="F127" i="2"/>
  <c r="E127" i="2"/>
  <c r="J126" i="2"/>
  <c r="I126" i="2"/>
  <c r="H126" i="2"/>
  <c r="G126" i="2"/>
  <c r="F126" i="2"/>
  <c r="E126" i="2"/>
  <c r="J125" i="2"/>
  <c r="I125" i="2"/>
  <c r="H125" i="2"/>
  <c r="G125" i="2"/>
  <c r="F125" i="2"/>
  <c r="E125" i="2"/>
  <c r="J124" i="2"/>
  <c r="I124" i="2"/>
  <c r="H124" i="2"/>
  <c r="G124" i="2"/>
  <c r="F124" i="2"/>
  <c r="E124" i="2"/>
  <c r="J123" i="2"/>
  <c r="I123" i="2"/>
  <c r="H123" i="2"/>
  <c r="G123" i="2"/>
  <c r="F123" i="2"/>
  <c r="E123" i="2"/>
  <c r="J122" i="2"/>
  <c r="I122" i="2"/>
  <c r="H122" i="2"/>
  <c r="G122" i="2"/>
  <c r="F122" i="2"/>
  <c r="E122" i="2"/>
  <c r="J121" i="2"/>
  <c r="I121" i="2"/>
  <c r="H121" i="2"/>
  <c r="G121" i="2"/>
  <c r="F121" i="2"/>
  <c r="E121" i="2"/>
  <c r="J120" i="2"/>
  <c r="I120" i="2"/>
  <c r="H120" i="2"/>
  <c r="G120" i="2"/>
  <c r="F120" i="2"/>
  <c r="E120" i="2"/>
  <c r="J119" i="2"/>
  <c r="I119" i="2"/>
  <c r="H119" i="2"/>
  <c r="G119" i="2"/>
  <c r="F119" i="2"/>
  <c r="E119" i="2"/>
  <c r="J118" i="2"/>
  <c r="I118" i="2"/>
  <c r="H118" i="2"/>
  <c r="G118" i="2"/>
  <c r="F118" i="2"/>
  <c r="E118" i="2"/>
  <c r="J117" i="2"/>
  <c r="I117" i="2"/>
  <c r="H117" i="2"/>
  <c r="G117" i="2"/>
  <c r="F117" i="2"/>
  <c r="E117" i="2"/>
  <c r="J116" i="2"/>
  <c r="I116" i="2"/>
  <c r="H116" i="2"/>
  <c r="G116" i="2"/>
  <c r="F116" i="2"/>
  <c r="E116" i="2"/>
  <c r="J115" i="2"/>
  <c r="I115" i="2"/>
  <c r="H115" i="2"/>
  <c r="G115" i="2"/>
  <c r="F115" i="2"/>
  <c r="E115" i="2"/>
  <c r="J114" i="2"/>
  <c r="I114" i="2"/>
  <c r="H114" i="2"/>
  <c r="G114" i="2"/>
  <c r="F114" i="2"/>
  <c r="E114" i="2"/>
  <c r="J113" i="2"/>
  <c r="I113" i="2"/>
  <c r="H113" i="2"/>
  <c r="G113" i="2"/>
  <c r="F113" i="2"/>
  <c r="E113" i="2"/>
  <c r="J112" i="2"/>
  <c r="I112" i="2"/>
  <c r="H112" i="2"/>
  <c r="G112" i="2"/>
  <c r="F112" i="2"/>
  <c r="E112" i="2"/>
  <c r="J111" i="2"/>
  <c r="I111" i="2"/>
  <c r="H111" i="2"/>
  <c r="G111" i="2"/>
  <c r="F111" i="2"/>
  <c r="E111" i="2"/>
  <c r="J110" i="2"/>
  <c r="I110" i="2"/>
  <c r="H110" i="2"/>
  <c r="G110" i="2"/>
  <c r="F110" i="2"/>
  <c r="E110" i="2"/>
  <c r="J109" i="2"/>
  <c r="I109" i="2"/>
  <c r="H109" i="2"/>
  <c r="G109" i="2"/>
  <c r="F109" i="2"/>
  <c r="E109" i="2"/>
  <c r="J108" i="2"/>
  <c r="I108" i="2"/>
  <c r="H108" i="2"/>
  <c r="G108" i="2"/>
  <c r="F108" i="2"/>
  <c r="E108" i="2"/>
  <c r="J107" i="2"/>
  <c r="I107" i="2"/>
  <c r="H107" i="2"/>
  <c r="G107" i="2"/>
  <c r="F107" i="2"/>
  <c r="E107" i="2"/>
  <c r="J106" i="2"/>
  <c r="I106" i="2"/>
  <c r="H106" i="2"/>
  <c r="G106" i="2"/>
  <c r="F106" i="2"/>
  <c r="E106" i="2"/>
  <c r="J105" i="2"/>
  <c r="I105" i="2"/>
  <c r="H105" i="2"/>
  <c r="G105" i="2"/>
  <c r="F105" i="2"/>
  <c r="E105" i="2"/>
  <c r="J104" i="2"/>
  <c r="I104" i="2"/>
  <c r="H104" i="2"/>
  <c r="G104" i="2"/>
  <c r="F104" i="2"/>
  <c r="E104" i="2"/>
  <c r="J103" i="2"/>
  <c r="I103" i="2"/>
  <c r="H103" i="2"/>
  <c r="G103" i="2"/>
  <c r="F103" i="2"/>
  <c r="E103" i="2"/>
  <c r="J102" i="2"/>
  <c r="I102" i="2"/>
  <c r="H102" i="2"/>
  <c r="G102" i="2"/>
  <c r="F102" i="2"/>
  <c r="E102" i="2"/>
  <c r="J101" i="2"/>
  <c r="I101" i="2"/>
  <c r="H101" i="2"/>
  <c r="G101" i="2"/>
  <c r="F101" i="2"/>
  <c r="E101" i="2"/>
  <c r="J100" i="2"/>
  <c r="I100" i="2"/>
  <c r="H100" i="2"/>
  <c r="G100" i="2"/>
  <c r="F100" i="2"/>
  <c r="E100" i="2"/>
  <c r="J99" i="2"/>
  <c r="I99" i="2"/>
  <c r="H99" i="2"/>
  <c r="G99" i="2"/>
  <c r="F99" i="2"/>
  <c r="E99" i="2"/>
  <c r="J98" i="2"/>
  <c r="I98" i="2"/>
  <c r="H98" i="2"/>
  <c r="G98" i="2"/>
  <c r="F98" i="2"/>
  <c r="E98" i="2"/>
  <c r="J97" i="2"/>
  <c r="I97" i="2"/>
  <c r="H97" i="2"/>
  <c r="G97" i="2"/>
  <c r="F97" i="2"/>
  <c r="E97" i="2"/>
  <c r="J96" i="2"/>
  <c r="I96" i="2"/>
  <c r="H96" i="2"/>
  <c r="G96" i="2"/>
  <c r="F96" i="2"/>
  <c r="E96" i="2"/>
  <c r="J95" i="2"/>
  <c r="I95" i="2"/>
  <c r="H95" i="2"/>
  <c r="G95" i="2"/>
  <c r="F95" i="2"/>
  <c r="E95" i="2"/>
  <c r="J94" i="2"/>
  <c r="I94" i="2"/>
  <c r="H94" i="2"/>
  <c r="G94" i="2"/>
  <c r="F94" i="2"/>
  <c r="E94" i="2"/>
  <c r="J93" i="2"/>
  <c r="I93" i="2"/>
  <c r="H93" i="2"/>
  <c r="G93" i="2"/>
  <c r="F93" i="2"/>
  <c r="E93" i="2"/>
  <c r="J92" i="2"/>
  <c r="I92" i="2"/>
  <c r="H92" i="2"/>
  <c r="G92" i="2"/>
  <c r="F92" i="2"/>
  <c r="E92" i="2"/>
  <c r="J91" i="2"/>
  <c r="I91" i="2"/>
  <c r="H91" i="2"/>
  <c r="G91" i="2"/>
  <c r="F91" i="2"/>
  <c r="E91" i="2"/>
  <c r="J90" i="2"/>
  <c r="I90" i="2"/>
  <c r="H90" i="2"/>
  <c r="G90" i="2"/>
  <c r="F90" i="2"/>
  <c r="E90" i="2"/>
  <c r="J89" i="2"/>
  <c r="I89" i="2"/>
  <c r="H89" i="2"/>
  <c r="G89" i="2"/>
  <c r="F89" i="2"/>
  <c r="E89" i="2"/>
  <c r="J88" i="2"/>
  <c r="I88" i="2"/>
  <c r="H88" i="2"/>
  <c r="G88" i="2"/>
  <c r="F88" i="2"/>
  <c r="E88" i="2"/>
  <c r="J87" i="2"/>
  <c r="I87" i="2"/>
  <c r="H87" i="2"/>
  <c r="G87" i="2"/>
  <c r="F87" i="2"/>
  <c r="E87" i="2"/>
  <c r="J86" i="2"/>
  <c r="I86" i="2"/>
  <c r="H86" i="2"/>
  <c r="G86" i="2"/>
  <c r="F86" i="2"/>
  <c r="E86" i="2"/>
  <c r="J85" i="2"/>
  <c r="I85" i="2"/>
  <c r="H85" i="2"/>
  <c r="G85" i="2"/>
  <c r="F85" i="2"/>
  <c r="E85" i="2"/>
  <c r="J84" i="2"/>
  <c r="I84" i="2"/>
  <c r="H84" i="2"/>
  <c r="G84" i="2"/>
  <c r="F84" i="2"/>
  <c r="E84" i="2"/>
  <c r="J80" i="2"/>
  <c r="I80" i="2"/>
  <c r="H80" i="2"/>
  <c r="G80" i="2"/>
  <c r="F80" i="2"/>
  <c r="E80" i="2"/>
  <c r="J79" i="2"/>
  <c r="I79" i="2"/>
  <c r="H79" i="2"/>
  <c r="G79" i="2"/>
  <c r="F79" i="2"/>
  <c r="E79" i="2"/>
  <c r="J78" i="2"/>
  <c r="I78" i="2"/>
  <c r="H78" i="2"/>
  <c r="G78" i="2"/>
  <c r="F78" i="2"/>
  <c r="E78" i="2"/>
  <c r="J77" i="2"/>
  <c r="I77" i="2"/>
  <c r="H77" i="2"/>
  <c r="G77" i="2"/>
  <c r="F77" i="2"/>
  <c r="E77" i="2"/>
  <c r="J76" i="2"/>
  <c r="I76" i="2"/>
  <c r="H76" i="2"/>
  <c r="G76" i="2"/>
  <c r="F76" i="2"/>
  <c r="E76" i="2"/>
  <c r="J75" i="2"/>
  <c r="I75" i="2"/>
  <c r="H75" i="2"/>
  <c r="G75" i="2"/>
  <c r="F75" i="2"/>
  <c r="E75" i="2"/>
  <c r="J74" i="2"/>
  <c r="I74" i="2"/>
  <c r="H74" i="2"/>
  <c r="G74" i="2"/>
  <c r="F74" i="2"/>
  <c r="E74" i="2"/>
  <c r="J73" i="2"/>
  <c r="I73" i="2"/>
  <c r="H73" i="2"/>
  <c r="G73" i="2"/>
  <c r="F73" i="2"/>
  <c r="E73" i="2"/>
  <c r="J72" i="2"/>
  <c r="I72" i="2"/>
  <c r="H72" i="2"/>
  <c r="G72" i="2"/>
  <c r="F72" i="2"/>
  <c r="E72" i="2"/>
  <c r="J71" i="2"/>
  <c r="I71" i="2"/>
  <c r="H71" i="2"/>
  <c r="G71" i="2"/>
  <c r="F71" i="2"/>
  <c r="E71" i="2"/>
  <c r="J70" i="2"/>
  <c r="I70" i="2"/>
  <c r="H70" i="2"/>
  <c r="G70" i="2"/>
  <c r="F70" i="2"/>
  <c r="E70" i="2"/>
  <c r="J69" i="2"/>
  <c r="I69" i="2"/>
  <c r="H69" i="2"/>
  <c r="F69" i="2"/>
  <c r="E69" i="2"/>
  <c r="J68" i="2"/>
  <c r="I68" i="2"/>
  <c r="H68" i="2"/>
  <c r="G68" i="2"/>
  <c r="F68" i="2"/>
  <c r="E68" i="2"/>
  <c r="J67" i="2"/>
  <c r="I67" i="2"/>
  <c r="H67" i="2"/>
  <c r="G67" i="2"/>
  <c r="F67" i="2"/>
  <c r="E67" i="2"/>
  <c r="J66" i="2"/>
  <c r="I66" i="2"/>
  <c r="H66" i="2"/>
  <c r="G66" i="2"/>
  <c r="F66" i="2"/>
  <c r="E66" i="2"/>
  <c r="J65" i="2"/>
  <c r="I65" i="2"/>
  <c r="H65" i="2"/>
  <c r="G65" i="2"/>
  <c r="F65" i="2"/>
  <c r="E65" i="2"/>
  <c r="J64" i="2"/>
  <c r="I64" i="2"/>
  <c r="H64" i="2"/>
  <c r="G64" i="2"/>
  <c r="F64" i="2"/>
  <c r="E64" i="2"/>
  <c r="J63" i="2"/>
  <c r="I63" i="2"/>
  <c r="H63" i="2"/>
  <c r="G63" i="2"/>
  <c r="F63" i="2"/>
  <c r="E63" i="2"/>
  <c r="J62" i="2"/>
  <c r="I62" i="2"/>
  <c r="H62" i="2"/>
  <c r="G62" i="2"/>
  <c r="F62" i="2"/>
  <c r="E62" i="2"/>
  <c r="J61" i="2"/>
  <c r="I61" i="2"/>
  <c r="H61" i="2"/>
  <c r="G61" i="2"/>
  <c r="F61" i="2"/>
  <c r="E61" i="2"/>
  <c r="J60" i="2"/>
  <c r="I60" i="2"/>
  <c r="H60" i="2"/>
  <c r="G60" i="2"/>
  <c r="F60" i="2"/>
  <c r="E60" i="2"/>
  <c r="J59" i="2"/>
  <c r="I59" i="2"/>
  <c r="H59" i="2"/>
  <c r="G59" i="2"/>
  <c r="F59" i="2"/>
  <c r="E59" i="2"/>
  <c r="J58" i="2"/>
  <c r="I58" i="2"/>
  <c r="H58" i="2"/>
  <c r="G58" i="2"/>
  <c r="F58" i="2"/>
  <c r="E58" i="2"/>
  <c r="J57" i="2"/>
  <c r="I57" i="2"/>
  <c r="H57" i="2"/>
  <c r="G57" i="2"/>
  <c r="F57" i="2"/>
  <c r="E57" i="2"/>
  <c r="J56" i="2"/>
  <c r="I56" i="2"/>
  <c r="H56" i="2"/>
  <c r="G56" i="2"/>
  <c r="F56" i="2"/>
  <c r="E56" i="2"/>
  <c r="J55" i="2"/>
  <c r="I55" i="2"/>
  <c r="H55" i="2"/>
  <c r="G55" i="2"/>
  <c r="F55" i="2"/>
  <c r="E55" i="2"/>
  <c r="J54" i="2"/>
  <c r="I54" i="2"/>
  <c r="H54" i="2"/>
  <c r="G54" i="2"/>
  <c r="F54" i="2"/>
  <c r="E54" i="2"/>
  <c r="J53" i="2"/>
  <c r="I53" i="2"/>
  <c r="H53" i="2"/>
  <c r="G53" i="2"/>
  <c r="F53" i="2"/>
  <c r="E53" i="2"/>
  <c r="J52" i="2"/>
  <c r="I52" i="2"/>
  <c r="H52" i="2"/>
  <c r="G52" i="2"/>
  <c r="F52" i="2"/>
  <c r="E52" i="2"/>
  <c r="J51" i="2"/>
  <c r="I51" i="2"/>
  <c r="H51" i="2"/>
  <c r="G51" i="2"/>
  <c r="F51" i="2"/>
  <c r="E51" i="2"/>
  <c r="J50" i="2"/>
  <c r="I50" i="2"/>
  <c r="H50" i="2"/>
  <c r="G50" i="2"/>
  <c r="F50" i="2"/>
  <c r="E50" i="2"/>
  <c r="J49" i="2"/>
  <c r="I49" i="2"/>
  <c r="H49" i="2"/>
  <c r="G49" i="2"/>
  <c r="F49" i="2"/>
  <c r="E49" i="2"/>
  <c r="J48" i="2"/>
  <c r="I48" i="2"/>
  <c r="H48" i="2"/>
  <c r="G48" i="2"/>
  <c r="F48" i="2"/>
  <c r="E48" i="2"/>
  <c r="J47" i="2"/>
  <c r="I47" i="2"/>
  <c r="H47" i="2"/>
  <c r="G47" i="2"/>
  <c r="F47" i="2"/>
  <c r="E47" i="2"/>
  <c r="J46" i="2"/>
  <c r="I46" i="2"/>
  <c r="H46" i="2"/>
  <c r="G46" i="2"/>
  <c r="F46" i="2"/>
  <c r="E46" i="2"/>
  <c r="J45" i="2"/>
  <c r="I45" i="2"/>
  <c r="H45" i="2"/>
  <c r="G45" i="2"/>
  <c r="F45" i="2"/>
  <c r="E45" i="2"/>
  <c r="J44" i="2"/>
  <c r="I44" i="2"/>
  <c r="H44" i="2"/>
  <c r="G44" i="2"/>
  <c r="F44" i="2"/>
  <c r="E44" i="2"/>
  <c r="J43" i="2"/>
  <c r="I43" i="2"/>
  <c r="H43" i="2"/>
  <c r="G43" i="2"/>
  <c r="F43" i="2"/>
  <c r="E43" i="2"/>
  <c r="J42" i="2"/>
  <c r="I42" i="2"/>
  <c r="H42" i="2"/>
  <c r="G42" i="2"/>
  <c r="F42" i="2"/>
  <c r="E42" i="2"/>
  <c r="J41" i="2"/>
  <c r="I41" i="2"/>
  <c r="H41" i="2"/>
  <c r="G41" i="2"/>
  <c r="F41" i="2"/>
  <c r="E41" i="2"/>
  <c r="J40" i="2"/>
  <c r="I40" i="2"/>
  <c r="H40" i="2"/>
  <c r="G40" i="2"/>
  <c r="F40" i="2"/>
  <c r="E40" i="2"/>
  <c r="J39" i="2"/>
  <c r="I39" i="2"/>
  <c r="H39" i="2"/>
  <c r="G39" i="2"/>
  <c r="F39" i="2"/>
  <c r="E39" i="2"/>
  <c r="J38" i="2"/>
  <c r="I38" i="2"/>
  <c r="H38" i="2"/>
  <c r="G38" i="2"/>
  <c r="F38" i="2"/>
  <c r="E38" i="2"/>
  <c r="J37" i="2"/>
  <c r="I37" i="2"/>
  <c r="H37" i="2"/>
  <c r="G37" i="2"/>
  <c r="F37" i="2"/>
  <c r="E37" i="2"/>
  <c r="J36" i="2"/>
  <c r="I36" i="2"/>
  <c r="H36" i="2"/>
  <c r="G36" i="2"/>
  <c r="F36" i="2"/>
  <c r="E36" i="2"/>
  <c r="J35" i="2"/>
  <c r="I35" i="2"/>
  <c r="H35" i="2"/>
  <c r="G35" i="2"/>
  <c r="F35" i="2"/>
  <c r="E35" i="2"/>
  <c r="J34" i="2"/>
  <c r="I34" i="2"/>
  <c r="H34" i="2"/>
  <c r="G34" i="2"/>
  <c r="F34" i="2"/>
  <c r="E34" i="2"/>
  <c r="J33" i="2"/>
  <c r="I33" i="2"/>
  <c r="H33" i="2"/>
  <c r="G33" i="2"/>
  <c r="F33" i="2"/>
  <c r="E33" i="2"/>
  <c r="J32" i="2"/>
  <c r="I32" i="2"/>
  <c r="H32" i="2"/>
  <c r="G32" i="2"/>
  <c r="F32" i="2"/>
  <c r="E32" i="2"/>
  <c r="J31" i="2"/>
  <c r="I31" i="2"/>
  <c r="H31" i="2"/>
  <c r="G31" i="2"/>
  <c r="F31" i="2"/>
  <c r="E31" i="2"/>
  <c r="J30" i="2"/>
  <c r="I30" i="2"/>
  <c r="H30" i="2"/>
  <c r="G30" i="2"/>
  <c r="F30" i="2"/>
  <c r="E30" i="2"/>
  <c r="J29" i="2"/>
  <c r="I29" i="2"/>
  <c r="H29" i="2"/>
  <c r="G29" i="2"/>
  <c r="F29" i="2"/>
  <c r="E29" i="2"/>
  <c r="J28" i="2"/>
  <c r="I28" i="2"/>
  <c r="H28" i="2"/>
  <c r="G28" i="2"/>
  <c r="F28" i="2"/>
  <c r="E28" i="2"/>
  <c r="J27" i="2"/>
  <c r="I27" i="2"/>
  <c r="H27" i="2"/>
  <c r="G27" i="2"/>
  <c r="F27" i="2"/>
  <c r="E27" i="2"/>
  <c r="J26" i="2"/>
  <c r="I26" i="2"/>
  <c r="H26" i="2"/>
  <c r="G26" i="2"/>
  <c r="F26" i="2"/>
  <c r="E26" i="2"/>
  <c r="J25" i="2"/>
  <c r="I25" i="2"/>
  <c r="H25" i="2"/>
  <c r="G25" i="2"/>
  <c r="F25" i="2"/>
  <c r="E25" i="2"/>
  <c r="J24" i="2"/>
  <c r="I24" i="2"/>
  <c r="H24" i="2"/>
  <c r="G24" i="2"/>
  <c r="F24" i="2"/>
  <c r="E24" i="2"/>
  <c r="J23" i="2"/>
  <c r="I23" i="2"/>
  <c r="H23" i="2"/>
  <c r="G23" i="2"/>
  <c r="F23" i="2"/>
  <c r="E23" i="2"/>
  <c r="J22" i="2"/>
  <c r="I22" i="2"/>
  <c r="H22" i="2"/>
  <c r="G22" i="2"/>
  <c r="F22" i="2"/>
  <c r="E22" i="2"/>
  <c r="J21" i="2"/>
  <c r="I21" i="2"/>
  <c r="H21" i="2"/>
  <c r="G21" i="2"/>
  <c r="F21" i="2"/>
  <c r="E21" i="2"/>
  <c r="J20" i="2"/>
  <c r="I20" i="2"/>
  <c r="H20" i="2"/>
  <c r="G20" i="2"/>
  <c r="F20" i="2"/>
  <c r="E20" i="2"/>
  <c r="J19" i="2"/>
  <c r="I19" i="2"/>
  <c r="H19" i="2"/>
  <c r="G19" i="2"/>
  <c r="F19" i="2"/>
  <c r="E19" i="2"/>
  <c r="J18" i="2"/>
  <c r="I18" i="2"/>
  <c r="H18" i="2"/>
  <c r="G18" i="2"/>
  <c r="F18" i="2"/>
  <c r="E18" i="2"/>
  <c r="J17" i="2"/>
  <c r="I17" i="2"/>
  <c r="H17" i="2"/>
  <c r="G17" i="2"/>
  <c r="F17" i="2"/>
  <c r="E17" i="2"/>
  <c r="J16" i="2"/>
  <c r="I16" i="2"/>
  <c r="H16" i="2"/>
  <c r="G16" i="2"/>
  <c r="F16" i="2"/>
  <c r="E16" i="2"/>
  <c r="J15" i="2"/>
  <c r="I15" i="2"/>
  <c r="H15" i="2"/>
  <c r="G15" i="2"/>
  <c r="F15" i="2"/>
  <c r="E15" i="2"/>
  <c r="J14" i="2"/>
  <c r="I14" i="2"/>
  <c r="H14" i="2"/>
  <c r="G14" i="2"/>
  <c r="F14" i="2"/>
  <c r="E14" i="2"/>
  <c r="J13" i="2"/>
  <c r="I13" i="2"/>
  <c r="H13" i="2"/>
  <c r="G13" i="2"/>
  <c r="F13" i="2"/>
  <c r="E13" i="2"/>
  <c r="J12" i="2"/>
  <c r="I12" i="2"/>
  <c r="H12" i="2"/>
  <c r="G12" i="2"/>
  <c r="F12" i="2"/>
  <c r="E12" i="2"/>
  <c r="J11" i="2"/>
  <c r="I11" i="2"/>
  <c r="H11" i="2"/>
  <c r="G11" i="2"/>
  <c r="F11" i="2"/>
  <c r="E11" i="2"/>
  <c r="J10" i="2"/>
  <c r="I10" i="2"/>
  <c r="H10" i="2"/>
  <c r="G10" i="2"/>
  <c r="F10" i="2"/>
  <c r="E10" i="2"/>
  <c r="J9" i="2"/>
  <c r="I9" i="2"/>
  <c r="H9" i="2"/>
  <c r="G9" i="2"/>
  <c r="F9" i="2"/>
  <c r="E9" i="2"/>
  <c r="J8" i="2"/>
  <c r="I8" i="2"/>
  <c r="H8" i="2"/>
  <c r="G8" i="2"/>
  <c r="F8" i="2"/>
  <c r="E8" i="2"/>
  <c r="J7" i="2"/>
  <c r="I7" i="2"/>
  <c r="H7" i="2"/>
  <c r="G7" i="2"/>
  <c r="F7" i="2"/>
  <c r="E7" i="2"/>
  <c r="J6" i="2"/>
  <c r="I6" i="2"/>
  <c r="H6" i="2"/>
  <c r="G6" i="2"/>
  <c r="F6" i="2"/>
  <c r="E6" i="2"/>
  <c r="J5" i="2"/>
  <c r="I5" i="2"/>
  <c r="H5" i="2"/>
  <c r="G5" i="2"/>
  <c r="F5" i="2"/>
  <c r="E5" i="2"/>
  <c r="J4" i="2"/>
  <c r="I4" i="2"/>
  <c r="H4" i="2"/>
  <c r="G4" i="2"/>
  <c r="F4" i="2"/>
  <c r="E4" i="2"/>
  <c r="J3" i="2"/>
  <c r="I3" i="2"/>
  <c r="H3" i="2"/>
  <c r="G3" i="2"/>
  <c r="F3" i="2"/>
  <c r="E3" i="2"/>
</calcChain>
</file>

<file path=xl/sharedStrings.xml><?xml version="1.0" encoding="utf-8"?>
<sst xmlns="http://schemas.openxmlformats.org/spreadsheetml/2006/main" count="895" uniqueCount="747">
  <si>
    <t>VPMN Public Code</t>
  </si>
  <si>
    <t>Pays</t>
  </si>
  <si>
    <t>Networks</t>
  </si>
  <si>
    <t>DZAA1</t>
  </si>
  <si>
    <t>Algeria</t>
  </si>
  <si>
    <t>ATM MOBILIS</t>
  </si>
  <si>
    <t>DZAWT</t>
  </si>
  <si>
    <t>wataniya nejma algérie</t>
  </si>
  <si>
    <t>DZAOT</t>
  </si>
  <si>
    <t>Djezzy Algeria</t>
  </si>
  <si>
    <t>0+</t>
  </si>
  <si>
    <t>AUTCA</t>
  </si>
  <si>
    <t>Austria</t>
  </si>
  <si>
    <t>H3G Austria</t>
  </si>
  <si>
    <t>T-Mobile Austria GmbH</t>
  </si>
  <si>
    <t>AUTPT</t>
  </si>
  <si>
    <t>A1 Telekom Austria AG</t>
  </si>
  <si>
    <t>Belgium</t>
  </si>
  <si>
    <t>Mobistar S.A.</t>
  </si>
  <si>
    <t>BELTB</t>
  </si>
  <si>
    <t>Belgacom Mobile N.V./S.A. – Proximus</t>
  </si>
  <si>
    <t>BELKO</t>
  </si>
  <si>
    <t>CANTS</t>
  </si>
  <si>
    <t xml:space="preserve">Canada </t>
  </si>
  <si>
    <t>TELUS</t>
  </si>
  <si>
    <t>CANST</t>
  </si>
  <si>
    <t xml:space="preserve">SaskTel Canada </t>
  </si>
  <si>
    <t>CANRW</t>
  </si>
  <si>
    <t>Rogers</t>
  </si>
  <si>
    <t>CANBM</t>
  </si>
  <si>
    <t>Bell Mobility Inc.</t>
  </si>
  <si>
    <t>CZERM</t>
  </si>
  <si>
    <t>Czech Republic</t>
  </si>
  <si>
    <t>T-MOBILE CZECH REPUBLIC A.S.</t>
  </si>
  <si>
    <t>CZECM</t>
  </si>
  <si>
    <t>vodafone Czech</t>
  </si>
  <si>
    <t>CZEET</t>
  </si>
  <si>
    <t>Telefonica Czech Republic a.s., Czech Republic</t>
  </si>
  <si>
    <t>EGYEM</t>
  </si>
  <si>
    <t>Egypt</t>
  </si>
  <si>
    <t>Etisalat Misr</t>
  </si>
  <si>
    <t>EGYMS</t>
  </si>
  <si>
    <t xml:space="preserve">vodafone Egypt </t>
  </si>
  <si>
    <t>HLR BARRING</t>
  </si>
  <si>
    <t>EGYAR</t>
  </si>
  <si>
    <t>Mobinil Egypt</t>
  </si>
  <si>
    <t>FRAFM</t>
  </si>
  <si>
    <t>France</t>
  </si>
  <si>
    <t>Free</t>
  </si>
  <si>
    <t>FRAF2</t>
  </si>
  <si>
    <t>SFR</t>
  </si>
  <si>
    <t>FRAF1</t>
  </si>
  <si>
    <t>Orange France</t>
  </si>
  <si>
    <t>FRAF3</t>
  </si>
  <si>
    <t>Bouygues Telecom</t>
  </si>
  <si>
    <t>DEUE2</t>
  </si>
  <si>
    <t>Germany</t>
  </si>
  <si>
    <t>Telefonica Germany(262,03)</t>
  </si>
  <si>
    <t>DEUD1</t>
  </si>
  <si>
    <t>T-Mobile Deutschland GmbH(262,01)</t>
  </si>
  <si>
    <t>DEUD2</t>
  </si>
  <si>
    <t>Vodafone D2 GmbH(262,02)</t>
  </si>
  <si>
    <t>ITAGT</t>
  </si>
  <si>
    <t>Italy</t>
  </si>
  <si>
    <t>TIM-GOS</t>
  </si>
  <si>
    <t>ITASI</t>
  </si>
  <si>
    <t>Telecom Italia SpA</t>
  </si>
  <si>
    <t>WIND</t>
  </si>
  <si>
    <t>ITAWI</t>
  </si>
  <si>
    <t>ITAOM</t>
  </si>
  <si>
    <t>Vodafone Italy</t>
  </si>
  <si>
    <t>MLTTL</t>
  </si>
  <si>
    <t>Malta</t>
  </si>
  <si>
    <t>MLTMA</t>
  </si>
  <si>
    <t>Vodafone Malta Maritime</t>
  </si>
  <si>
    <t>MLTMM</t>
  </si>
  <si>
    <t>Melita Mobile LTD</t>
  </si>
  <si>
    <t>MLTGO</t>
  </si>
  <si>
    <t>MobIsle Communications Ltd. (GO Mobile)</t>
  </si>
  <si>
    <t>MARM3</t>
  </si>
  <si>
    <t>Morocco</t>
  </si>
  <si>
    <t>Wana Coporate</t>
  </si>
  <si>
    <t>MARM1</t>
  </si>
  <si>
    <t>Maroc Telecom</t>
  </si>
  <si>
    <t>MARMT</t>
  </si>
  <si>
    <t>MEDI TELECOM  SA</t>
  </si>
  <si>
    <t>NLDPN</t>
  </si>
  <si>
    <t>Netherlands</t>
  </si>
  <si>
    <t>T-Mobile Netherlands</t>
  </si>
  <si>
    <t>NLDDT</t>
  </si>
  <si>
    <t>NLDLT</t>
  </si>
  <si>
    <t>Vodafone</t>
  </si>
  <si>
    <t>NLDPT</t>
  </si>
  <si>
    <t>KPN B.V. The Netherlands</t>
  </si>
  <si>
    <t>POL03</t>
  </si>
  <si>
    <t>Poland</t>
  </si>
  <si>
    <t>PTK Centertel (Orange)</t>
  </si>
  <si>
    <t>POL02</t>
  </si>
  <si>
    <t>T Mobile Poland (ERA)</t>
  </si>
  <si>
    <t>POLKM</t>
  </si>
  <si>
    <t>Polkomtel</t>
  </si>
  <si>
    <t>POLP4</t>
  </si>
  <si>
    <t>P4 Sp. z o.o</t>
  </si>
  <si>
    <t>PRTTM</t>
  </si>
  <si>
    <t>Portugal</t>
  </si>
  <si>
    <t>TMN MEO Portugal</t>
  </si>
  <si>
    <t>vodafone Portugal</t>
  </si>
  <si>
    <t>PRTTL</t>
  </si>
  <si>
    <t>PRTOP</t>
  </si>
  <si>
    <t>Optimus - Comunicações, S.A.</t>
  </si>
  <si>
    <t>QATB1</t>
  </si>
  <si>
    <t>Qatar</t>
  </si>
  <si>
    <t>Vodafone Qatar</t>
  </si>
  <si>
    <t>QATQT</t>
  </si>
  <si>
    <t>Qatar Telecom (Qtel) Q.S.C / Ooredoo</t>
  </si>
  <si>
    <t>ROMMR</t>
  </si>
  <si>
    <t>Romania</t>
  </si>
  <si>
    <t>Orange Romania S.A</t>
  </si>
  <si>
    <t>ROMCS</t>
  </si>
  <si>
    <t>Cosmote Romanian Mobile Telecommunications S.A.</t>
  </si>
  <si>
    <t>ROM05</t>
  </si>
  <si>
    <t>VF Romanie</t>
  </si>
  <si>
    <t>SENSG</t>
  </si>
  <si>
    <t>Senegal</t>
  </si>
  <si>
    <t>Sentel GSM S.A.</t>
  </si>
  <si>
    <t>SENAZ</t>
  </si>
  <si>
    <t>Orange Senegal</t>
  </si>
  <si>
    <t>ESPRT</t>
  </si>
  <si>
    <t>Spain</t>
  </si>
  <si>
    <t>Orange Espana SA</t>
  </si>
  <si>
    <t>ESPTE</t>
  </si>
  <si>
    <t>Telefonica Moviles España, S.A.</t>
  </si>
  <si>
    <t>ESPXF</t>
  </si>
  <si>
    <t>Xfera Moviles S.A.</t>
  </si>
  <si>
    <t>ESPAT</t>
  </si>
  <si>
    <t>Vodafone Spain</t>
  </si>
  <si>
    <t>CHEOR</t>
  </si>
  <si>
    <t>Switzerland</t>
  </si>
  <si>
    <t>Salt</t>
  </si>
  <si>
    <t>CHEOA</t>
  </si>
  <si>
    <t>SITA OnAir Switzerland</t>
  </si>
  <si>
    <t>CHEC1</t>
  </si>
  <si>
    <t>Swisscom (Switzerland) Ltd</t>
  </si>
  <si>
    <t>CHEDX</t>
  </si>
  <si>
    <t>Sunrise Communications AG</t>
  </si>
  <si>
    <t>TURTS</t>
  </si>
  <si>
    <t>Turkey</t>
  </si>
  <si>
    <t>VODAFONE TELEKOMUNIKASYON A.S.</t>
  </si>
  <si>
    <t>TURIS</t>
  </si>
  <si>
    <t>AVEA</t>
  </si>
  <si>
    <t>TURTC</t>
  </si>
  <si>
    <t>TURKCELL lletisim Hizmetleri A.S.</t>
  </si>
  <si>
    <t>AREDU</t>
  </si>
  <si>
    <t>UAE</t>
  </si>
  <si>
    <t>DU UAE</t>
  </si>
  <si>
    <t>ARETH</t>
  </si>
  <si>
    <t>Thuraya</t>
  </si>
  <si>
    <t>ARETC</t>
  </si>
  <si>
    <t>Etisalat UAE</t>
  </si>
  <si>
    <t>GBROR</t>
  </si>
  <si>
    <t>UK</t>
  </si>
  <si>
    <t>GBRCN</t>
  </si>
  <si>
    <t>GBRVF</t>
  </si>
  <si>
    <t>GBRHU</t>
  </si>
  <si>
    <t>GBRME</t>
  </si>
  <si>
    <t>USACG</t>
  </si>
  <si>
    <t>USA</t>
  </si>
  <si>
    <t>SVKGT</t>
  </si>
  <si>
    <t>Slovakia</t>
  </si>
  <si>
    <t>Orange</t>
  </si>
  <si>
    <t>SVKO2</t>
  </si>
  <si>
    <t xml:space="preserve">Telefonica O2 </t>
  </si>
  <si>
    <t>SVKET</t>
  </si>
  <si>
    <t>T mobile</t>
  </si>
  <si>
    <t>LUXVM</t>
  </si>
  <si>
    <t>Luxemburg</t>
  </si>
  <si>
    <t>LUXPT</t>
  </si>
  <si>
    <t>Post Luxembourg</t>
  </si>
  <si>
    <t>LUXTG</t>
  </si>
  <si>
    <t>Tango</t>
  </si>
  <si>
    <t>KWTKT</t>
  </si>
  <si>
    <t>Kuwait</t>
  </si>
  <si>
    <t xml:space="preserve">Kuwait Telecom Company </t>
  </si>
  <si>
    <t>KWTMT</t>
  </si>
  <si>
    <t>Zain Kuwait</t>
  </si>
  <si>
    <t>KWTNM</t>
  </si>
  <si>
    <t>Wataniya Telecom Kuwait</t>
  </si>
  <si>
    <t>JORFL</t>
  </si>
  <si>
    <t>Jordan</t>
  </si>
  <si>
    <t xml:space="preserve">zain </t>
  </si>
  <si>
    <t>JORMC</t>
  </si>
  <si>
    <t>Orange Jordanie</t>
  </si>
  <si>
    <t>JORUM</t>
  </si>
  <si>
    <t>umniah</t>
  </si>
  <si>
    <t>LTU03</t>
  </si>
  <si>
    <t>Lithuana</t>
  </si>
  <si>
    <t>UAB tele2</t>
  </si>
  <si>
    <t>LTUMT</t>
  </si>
  <si>
    <t>UAB Bite Lietuva</t>
  </si>
  <si>
    <t>LTUOM</t>
  </si>
  <si>
    <t>Omnitel</t>
  </si>
  <si>
    <t>SAUAJ</t>
  </si>
  <si>
    <t>Saudi Arabia</t>
  </si>
  <si>
    <t>STC saudia</t>
  </si>
  <si>
    <t>SAUET</t>
  </si>
  <si>
    <t>MOBILY</t>
  </si>
  <si>
    <t>SAUZN</t>
  </si>
  <si>
    <t xml:space="preserve">Zain KSA </t>
  </si>
  <si>
    <t>RUS01</t>
  </si>
  <si>
    <t>Russia</t>
  </si>
  <si>
    <t>MTS Russia</t>
  </si>
  <si>
    <t>RUS27</t>
  </si>
  <si>
    <t>Tvoi Mobil'nye Tekhnologii LLC (TMT) Russia</t>
  </si>
  <si>
    <t>RUSBD</t>
  </si>
  <si>
    <t>Vimpelcom</t>
  </si>
  <si>
    <t>RUSNW</t>
  </si>
  <si>
    <t>CHNCT</t>
  </si>
  <si>
    <t xml:space="preserve">China </t>
  </si>
  <si>
    <t>China Mobile</t>
  </si>
  <si>
    <t>CHNCU</t>
  </si>
  <si>
    <t>China Unicom</t>
  </si>
  <si>
    <t>LBY01</t>
  </si>
  <si>
    <t>Libya</t>
  </si>
  <si>
    <t>ELMADAR</t>
  </si>
  <si>
    <t>LBYLM</t>
  </si>
  <si>
    <t>Libyana</t>
  </si>
  <si>
    <t>THACO</t>
  </si>
  <si>
    <t>thailand</t>
  </si>
  <si>
    <t>True Move</t>
  </si>
  <si>
    <t>THACT</t>
  </si>
  <si>
    <t>DTAC PLC</t>
  </si>
  <si>
    <t>awn</t>
  </si>
  <si>
    <t>CODOR</t>
  </si>
  <si>
    <t>Congo Democratic Republic</t>
  </si>
  <si>
    <t xml:space="preserve">Orange RDC </t>
  </si>
  <si>
    <t>HKGTC</t>
  </si>
  <si>
    <t>Hong Kong</t>
  </si>
  <si>
    <t>CSL Hong Kong</t>
  </si>
  <si>
    <t>HKGSM</t>
  </si>
  <si>
    <t>SmarTone Mobile Communications Limited</t>
  </si>
  <si>
    <t>CMR02</t>
  </si>
  <si>
    <t>Cameroun</t>
  </si>
  <si>
    <t>CMRMT</t>
  </si>
  <si>
    <t>MTN</t>
  </si>
  <si>
    <t>CIV03</t>
  </si>
  <si>
    <t>Côte d'Ivoire</t>
  </si>
  <si>
    <t>CIV02</t>
  </si>
  <si>
    <t>Moov</t>
  </si>
  <si>
    <t>MDGAN</t>
  </si>
  <si>
    <t>Madagascar</t>
  </si>
  <si>
    <t>MDGTM</t>
  </si>
  <si>
    <t>Telma</t>
  </si>
  <si>
    <t>GRCPF</t>
  </si>
  <si>
    <t>Greece</t>
  </si>
  <si>
    <t>Vodafone Panafon Greece</t>
  </si>
  <si>
    <t>GRCCO</t>
  </si>
  <si>
    <t>T Mobile greece</t>
  </si>
  <si>
    <t>LBNFL</t>
  </si>
  <si>
    <t>Lebanon</t>
  </si>
  <si>
    <t>Alfa MIC1</t>
  </si>
  <si>
    <t>LBNLC</t>
  </si>
  <si>
    <t>MIC 2 Touch Lebanon</t>
  </si>
  <si>
    <t>ITAFM</t>
  </si>
  <si>
    <t>Iliad Italy</t>
  </si>
  <si>
    <t>THADT</t>
  </si>
  <si>
    <t>Centrafrique</t>
  </si>
  <si>
    <t>CAF03</t>
  </si>
  <si>
    <t>Orange CentrAfrique</t>
  </si>
  <si>
    <t>CAF02</t>
  </si>
  <si>
    <t xml:space="preserve">Telecel Centrafrique </t>
  </si>
  <si>
    <t>Botswana</t>
  </si>
  <si>
    <t>BWAVC</t>
  </si>
  <si>
    <t>BWABC</t>
  </si>
  <si>
    <t>Orange Botswana</t>
  </si>
  <si>
    <t>Botswana Telecommunications Corporation</t>
  </si>
  <si>
    <t>Niger</t>
  </si>
  <si>
    <t>NEROR</t>
  </si>
  <si>
    <t>NERTL</t>
  </si>
  <si>
    <t>Zamani (Orange) Niger</t>
  </si>
  <si>
    <t xml:space="preserve">Telecel Niger </t>
  </si>
  <si>
    <t>Sierra léone</t>
  </si>
  <si>
    <t>SLEAC</t>
  </si>
  <si>
    <t>SLECT</t>
  </si>
  <si>
    <t>Africell Sierra Leone</t>
  </si>
  <si>
    <t>Airtel Sierra Leone (Orange)</t>
  </si>
  <si>
    <t>Burkina faso</t>
  </si>
  <si>
    <t>BFAON</t>
  </si>
  <si>
    <t>BFACT</t>
  </si>
  <si>
    <t>Onatel</t>
  </si>
  <si>
    <t>Orange Burkina Fasso</t>
  </si>
  <si>
    <t>SALT Group</t>
  </si>
  <si>
    <t>BELTN</t>
  </si>
  <si>
    <t>USASC</t>
  </si>
  <si>
    <t>BMU01</t>
  </si>
  <si>
    <t>USAUN</t>
  </si>
  <si>
    <t>USANW</t>
  </si>
  <si>
    <t>USACD</t>
  </si>
  <si>
    <t>T-Mobile USA</t>
  </si>
  <si>
    <t>AT&amp;T Mobility USA</t>
  </si>
  <si>
    <t>AT&amp;T Mobility (Maritime service)</t>
  </si>
  <si>
    <t>Union Telephone Company USA</t>
  </si>
  <si>
    <t xml:space="preserve">NewCore Wireless </t>
  </si>
  <si>
    <t>Commnet Wireless, LLC</t>
  </si>
  <si>
    <t>CODAC</t>
  </si>
  <si>
    <t>CODVC</t>
  </si>
  <si>
    <t>Africell RDC sprl</t>
  </si>
  <si>
    <t>Vodacom RDC</t>
  </si>
  <si>
    <t>BWAGA</t>
  </si>
  <si>
    <t>Mascom Wireless (Pty)</t>
  </si>
  <si>
    <t>ESPDI</t>
  </si>
  <si>
    <t>DIGI</t>
  </si>
  <si>
    <t>Bahrain</t>
  </si>
  <si>
    <t>Viva Bahrain (STC)</t>
  </si>
  <si>
    <t>Zain BH</t>
  </si>
  <si>
    <t>BHRST</t>
  </si>
  <si>
    <t>BHRMV</t>
  </si>
  <si>
    <t>THAWN</t>
  </si>
  <si>
    <t>THACA</t>
  </si>
  <si>
    <t>Moldova</t>
  </si>
  <si>
    <t>MDAVX</t>
  </si>
  <si>
    <t>MDAMC</t>
  </si>
  <si>
    <t>MDAUN</t>
  </si>
  <si>
    <t>Orange Moldova</t>
  </si>
  <si>
    <t>Moldcell moldavia</t>
  </si>
  <si>
    <t>Moldetelecom</t>
  </si>
  <si>
    <t>Orange Mali</t>
  </si>
  <si>
    <t>MOOV Malitel</t>
  </si>
  <si>
    <t>MLI02</t>
  </si>
  <si>
    <t>MLI01</t>
  </si>
  <si>
    <t>Mali</t>
  </si>
  <si>
    <t>IRLME</t>
  </si>
  <si>
    <t>IRLDF</t>
  </si>
  <si>
    <t>IRLEC</t>
  </si>
  <si>
    <t xml:space="preserve">Ireland </t>
  </si>
  <si>
    <t xml:space="preserve">Meteor Ireland </t>
  </si>
  <si>
    <t>Vodafone Ireland</t>
  </si>
  <si>
    <t>Hutchison Ireland</t>
  </si>
  <si>
    <t xml:space="preserve">Indonesia </t>
  </si>
  <si>
    <t>H3G Indonesia</t>
  </si>
  <si>
    <t>PT Indosat Tbk</t>
  </si>
  <si>
    <t>Telkomcel Indonesia</t>
  </si>
  <si>
    <t>IDN89</t>
  </si>
  <si>
    <t>IDNSL</t>
  </si>
  <si>
    <t>IDNTS</t>
  </si>
  <si>
    <t>RUST2</t>
  </si>
  <si>
    <t>MegaFon</t>
  </si>
  <si>
    <t>Tele2 Russia</t>
  </si>
  <si>
    <t>EE Limited UK</t>
  </si>
  <si>
    <t>Hutchison H3G UK</t>
  </si>
  <si>
    <t>Virgin Media O2</t>
  </si>
  <si>
    <t>Vodafone UK</t>
  </si>
  <si>
    <t>CIVTL</t>
  </si>
  <si>
    <t xml:space="preserve">MTN </t>
  </si>
  <si>
    <t>ALBEM</t>
  </si>
  <si>
    <t>Albania</t>
  </si>
  <si>
    <t>ALBM4</t>
  </si>
  <si>
    <t>Plus Albania</t>
  </si>
  <si>
    <t>ALBAM</t>
  </si>
  <si>
    <t>ALBVF</t>
  </si>
  <si>
    <t>Vodafone Albania</t>
  </si>
  <si>
    <t>ARGTP</t>
  </si>
  <si>
    <t>Argentina</t>
  </si>
  <si>
    <t>Telecom Personal S.A</t>
  </si>
  <si>
    <t>ARGTM</t>
  </si>
  <si>
    <t>Telefonica Moviles Argentina</t>
  </si>
  <si>
    <t>ARM05</t>
  </si>
  <si>
    <t>MTS Armenia</t>
  </si>
  <si>
    <t>ARM01</t>
  </si>
  <si>
    <t>Telecom Armenia CJSC</t>
  </si>
  <si>
    <t>ARMOR</t>
  </si>
  <si>
    <t>Ucom CJSC Armenia</t>
  </si>
  <si>
    <t>AUSOP</t>
  </si>
  <si>
    <t>Australia</t>
  </si>
  <si>
    <t>Optus Mobile Pty Limited</t>
  </si>
  <si>
    <t>AUSVF</t>
  </si>
  <si>
    <t>Vodafone Australia</t>
  </si>
  <si>
    <t>BLRBT</t>
  </si>
  <si>
    <t>Belarus</t>
  </si>
  <si>
    <t>Life Best Belarus</t>
  </si>
  <si>
    <t>BLR02</t>
  </si>
  <si>
    <t>MTS Belarus</t>
  </si>
  <si>
    <t>BLRMD</t>
  </si>
  <si>
    <t>Velcom Belarus</t>
  </si>
  <si>
    <t>BRATM</t>
  </si>
  <si>
    <t xml:space="preserve">Brazil </t>
  </si>
  <si>
    <t xml:space="preserve">Oi Brazil </t>
  </si>
  <si>
    <t>BRABT</t>
  </si>
  <si>
    <t>Oi Brazil/ Telemar</t>
  </si>
  <si>
    <t>BRASP</t>
  </si>
  <si>
    <t>TIM Celular S.A.</t>
  </si>
  <si>
    <t>BRACS</t>
  </si>
  <si>
    <t>BRARN</t>
  </si>
  <si>
    <t>BRAV1</t>
  </si>
  <si>
    <t xml:space="preserve">VIVO Brazil / Telefonica </t>
  </si>
  <si>
    <t>BRAV2</t>
  </si>
  <si>
    <t>BRAV3</t>
  </si>
  <si>
    <t>BRATC</t>
  </si>
  <si>
    <t>BGR01</t>
  </si>
  <si>
    <t>Bulgaria</t>
  </si>
  <si>
    <t>A1 Bulgaria (Mobiltel)</t>
  </si>
  <si>
    <t>BGRVA</t>
  </si>
  <si>
    <t>Vivacom (Telemach) Bulgaria</t>
  </si>
  <si>
    <t>BGRCM</t>
  </si>
  <si>
    <t>Yettel Bulgaria</t>
  </si>
  <si>
    <t>CPVCV</t>
  </si>
  <si>
    <t>Cap Verde</t>
  </si>
  <si>
    <t>CVMovel Cap Verde</t>
  </si>
  <si>
    <t>CPVTM</t>
  </si>
  <si>
    <t>T+ Unitel Telecomunicacoes</t>
  </si>
  <si>
    <t>GLPDT</t>
  </si>
  <si>
    <t>Caraibes</t>
  </si>
  <si>
    <t>Dauphin Telecom (Amigo GSM)</t>
  </si>
  <si>
    <t>FRAF4</t>
  </si>
  <si>
    <t>Digicel Antilles françaises Guyane</t>
  </si>
  <si>
    <t>GLP01</t>
  </si>
  <si>
    <t>Orange Caraibe</t>
  </si>
  <si>
    <t>CHLSM</t>
  </si>
  <si>
    <t>Chile</t>
  </si>
  <si>
    <t>Claro Chile</t>
  </si>
  <si>
    <t>CHLMV</t>
  </si>
  <si>
    <t>Entel Chile</t>
  </si>
  <si>
    <t>CRICL</t>
  </si>
  <si>
    <t>Costa Rica</t>
  </si>
  <si>
    <t>Claro Costa Rica</t>
  </si>
  <si>
    <t>CRICR</t>
  </si>
  <si>
    <t>ICE Costarica</t>
  </si>
  <si>
    <t>CRITC</t>
  </si>
  <si>
    <t>LIBERTY Telecomuncationes de Costa Rica</t>
  </si>
  <si>
    <t>HRVVI</t>
  </si>
  <si>
    <t>Croatia</t>
  </si>
  <si>
    <t>A1 Hrvatska (Vipnet d.o.o) Croatia</t>
  </si>
  <si>
    <t>HRVCN</t>
  </si>
  <si>
    <t xml:space="preserve">Hrvatski Telekom (T-Mobile) </t>
  </si>
  <si>
    <t>HRVT2</t>
  </si>
  <si>
    <t>Telemach Croatia Ltd (Tele2) Croatia</t>
  </si>
  <si>
    <t>CYPSC</t>
  </si>
  <si>
    <t>Cyprus</t>
  </si>
  <si>
    <t>Epic (MTN) Cyprus</t>
  </si>
  <si>
    <t>CYPPT</t>
  </si>
  <si>
    <t>PrimeTel Cyprus</t>
  </si>
  <si>
    <t>DNKHU</t>
  </si>
  <si>
    <t>Denmark</t>
  </si>
  <si>
    <t>Hi3G Denmark</t>
  </si>
  <si>
    <t>DNKTD</t>
  </si>
  <si>
    <t>TDC (Nuuday) Denmark</t>
  </si>
  <si>
    <t>DNKDM</t>
  </si>
  <si>
    <t xml:space="preserve">Telenor Denmark </t>
  </si>
  <si>
    <t>DNKIA</t>
  </si>
  <si>
    <t>Telia Danmark</t>
  </si>
  <si>
    <t>ESTRE</t>
  </si>
  <si>
    <t>Estonia</t>
  </si>
  <si>
    <t>Elisa Estonia</t>
  </si>
  <si>
    <t>ESTRB</t>
  </si>
  <si>
    <t>Tele2 Estonia</t>
  </si>
  <si>
    <t>ESTEM</t>
  </si>
  <si>
    <t>Telia (AS EMT)</t>
  </si>
  <si>
    <t>FINAM</t>
  </si>
  <si>
    <t xml:space="preserve">Finland  </t>
  </si>
  <si>
    <t>Alands Telekommunikation Ab</t>
  </si>
  <si>
    <t>FIN2G</t>
  </si>
  <si>
    <t>DNA Finland</t>
  </si>
  <si>
    <t>FINRL</t>
  </si>
  <si>
    <t>Elisa Finland</t>
  </si>
  <si>
    <t>FINTF</t>
  </si>
  <si>
    <t>Telia Sonera Finland</t>
  </si>
  <si>
    <t>GHAMT</t>
  </si>
  <si>
    <t>Ghana</t>
  </si>
  <si>
    <t xml:space="preserve">Airtel (Tigo) Ghana </t>
  </si>
  <si>
    <t xml:space="preserve">GHASC </t>
  </si>
  <si>
    <t>MTN Ghana (Scancom)</t>
  </si>
  <si>
    <t>GHAGT</t>
  </si>
  <si>
    <t xml:space="preserve">Vodafone Ghana </t>
  </si>
  <si>
    <t>GINAG</t>
  </si>
  <si>
    <t>Guinee</t>
  </si>
  <si>
    <t>MTN Guinee (Areeba)</t>
  </si>
  <si>
    <t>GINGS</t>
  </si>
  <si>
    <t>Orange Guinee</t>
  </si>
  <si>
    <t>GNBSB</t>
  </si>
  <si>
    <t>Guinee Bissau</t>
  </si>
  <si>
    <t>MTN Guinee Bissau (Spacetel)</t>
  </si>
  <si>
    <t>GNB03</t>
  </si>
  <si>
    <t>Orange Bissau</t>
  </si>
  <si>
    <t>HUNH2</t>
  </si>
  <si>
    <t>Hungary</t>
  </si>
  <si>
    <t>Telekom Hungary (T-Mobile)</t>
  </si>
  <si>
    <t>HUNVR</t>
  </si>
  <si>
    <t>Vodafone Hungary</t>
  </si>
  <si>
    <t>HUNH1</t>
  </si>
  <si>
    <t>Yettel Hungary</t>
  </si>
  <si>
    <t>JPNDO</t>
  </si>
  <si>
    <t>Japan</t>
  </si>
  <si>
    <t>NTT DOCOMO</t>
  </si>
  <si>
    <t>JPNJP</t>
  </si>
  <si>
    <t>SoftBank Mobile Japan</t>
  </si>
  <si>
    <t>KAZKT</t>
  </si>
  <si>
    <t>Kazakhestan</t>
  </si>
  <si>
    <t>KaR-Tel</t>
  </si>
  <si>
    <t>KAZKZ</t>
  </si>
  <si>
    <t xml:space="preserve">K'Cell </t>
  </si>
  <si>
    <t>KAZ77</t>
  </si>
  <si>
    <t>Mobile Telecom-Service LLP</t>
  </si>
  <si>
    <t>KORKF</t>
  </si>
  <si>
    <t>Korea</t>
  </si>
  <si>
    <t>KT Korea</t>
  </si>
  <si>
    <t>KORSK</t>
  </si>
  <si>
    <t xml:space="preserve">SK Korea </t>
  </si>
  <si>
    <t>LVALM</t>
  </si>
  <si>
    <t>Latvia</t>
  </si>
  <si>
    <t>LMT Latvia</t>
  </si>
  <si>
    <t>LVABT</t>
  </si>
  <si>
    <t>SIA Bite Mobile</t>
  </si>
  <si>
    <t>LVABC</t>
  </si>
  <si>
    <t>Tele2 Latvia</t>
  </si>
  <si>
    <t>LIEVE</t>
  </si>
  <si>
    <t>Liechtenstein</t>
  </si>
  <si>
    <t>Salt Liechtenstein</t>
  </si>
  <si>
    <t>LIEMK</t>
  </si>
  <si>
    <t>Telekom Liechtenstein</t>
  </si>
  <si>
    <t>MKDNO</t>
  </si>
  <si>
    <t xml:space="preserve">Macedonia  </t>
  </si>
  <si>
    <t xml:space="preserve">A1 Makedonija DOOEL Skopje </t>
  </si>
  <si>
    <t>MKDMM</t>
  </si>
  <si>
    <t>Makedonski Telekom (T-Mobile)</t>
  </si>
  <si>
    <t>MYSMT</t>
  </si>
  <si>
    <t>Malaysia</t>
  </si>
  <si>
    <t>Digi Malaysia</t>
  </si>
  <si>
    <t>MYSMI</t>
  </si>
  <si>
    <t>U Mobile Malayzia</t>
  </si>
  <si>
    <t>MYSBC</t>
  </si>
  <si>
    <t>Maxis Malaysia</t>
  </si>
  <si>
    <t>MEXIU</t>
  </si>
  <si>
    <t>Mexico</t>
  </si>
  <si>
    <t>AT&amp;T Comunicaciones Digital Mexico</t>
  </si>
  <si>
    <t>MEXMS</t>
  </si>
  <si>
    <t>Pegaso (Movistar) Mexico</t>
  </si>
  <si>
    <t>MNEMT</t>
  </si>
  <si>
    <t>Montenegro</t>
  </si>
  <si>
    <t>MNEPM</t>
  </si>
  <si>
    <t>MOZ01</t>
  </si>
  <si>
    <t>Mozambique</t>
  </si>
  <si>
    <t>Mcel Mozambique</t>
  </si>
  <si>
    <t>MOZVG</t>
  </si>
  <si>
    <t>Movitel SA Mozambico</t>
  </si>
  <si>
    <t>MOZVC</t>
  </si>
  <si>
    <t>Vodacom Mozambico</t>
  </si>
  <si>
    <t>MMRPT</t>
  </si>
  <si>
    <t>Myanmar</t>
  </si>
  <si>
    <t>MPT Myanmar</t>
  </si>
  <si>
    <t>MMROM</t>
  </si>
  <si>
    <t>Ooredoo Myanmar</t>
  </si>
  <si>
    <t>MMRTN</t>
  </si>
  <si>
    <t>ATOM Myanmar</t>
  </si>
  <si>
    <t>NZLTM</t>
  </si>
  <si>
    <t>New Zealand</t>
  </si>
  <si>
    <t xml:space="preserve">Spark Telecom New Zealand </t>
  </si>
  <si>
    <t>NZLNH</t>
  </si>
  <si>
    <t>Two Degrees New Zealand</t>
  </si>
  <si>
    <t>NZLBS</t>
  </si>
  <si>
    <t xml:space="preserve">Vodafone New Zealand </t>
  </si>
  <si>
    <t>NORNC</t>
  </si>
  <si>
    <t>Norway</t>
  </si>
  <si>
    <t>Netcom Norway</t>
  </si>
  <si>
    <t>NORTM</t>
  </si>
  <si>
    <t>Telenor Norway</t>
  </si>
  <si>
    <t>OMNNT</t>
  </si>
  <si>
    <t>Oman</t>
  </si>
  <si>
    <t>Nawras Oman</t>
  </si>
  <si>
    <t>OMNGT</t>
  </si>
  <si>
    <t>Vodafone Oman (Omantel)</t>
  </si>
  <si>
    <t>PANCW</t>
  </si>
  <si>
    <t>Panama</t>
  </si>
  <si>
    <t xml:space="preserve">Cable &amp; Wireless Panama </t>
  </si>
  <si>
    <t>PANDC</t>
  </si>
  <si>
    <t>Digicel (Panama) S.A.</t>
  </si>
  <si>
    <t>PANMS</t>
  </si>
  <si>
    <t xml:space="preserve">Telefonica Moviles Panama </t>
  </si>
  <si>
    <t>SRBNO</t>
  </si>
  <si>
    <t>Serbia</t>
  </si>
  <si>
    <t>YUGMT</t>
  </si>
  <si>
    <t>SVNSM</t>
  </si>
  <si>
    <t>Slovenia</t>
  </si>
  <si>
    <t>A1 (SiMobil) Slovenia</t>
  </si>
  <si>
    <t>SVNMT</t>
  </si>
  <si>
    <t xml:space="preserve">Telekom Slovenije (Mobitel) Slovenia </t>
  </si>
  <si>
    <t>SVNVG</t>
  </si>
  <si>
    <t>Telemach Tusmobil d.o.o.</t>
  </si>
  <si>
    <t>ZAFCC</t>
  </si>
  <si>
    <t>South Africa</t>
  </si>
  <si>
    <t>Cell C South Africa</t>
  </si>
  <si>
    <t>ZAFTM</t>
  </si>
  <si>
    <t xml:space="preserve">Telkom South Africa </t>
  </si>
  <si>
    <t>ZAFMN</t>
  </si>
  <si>
    <t>ZAFVC</t>
  </si>
  <si>
    <t>Vodacom South Africa</t>
  </si>
  <si>
    <t>LKADG</t>
  </si>
  <si>
    <t>Sri Lanka</t>
  </si>
  <si>
    <t>Dialog Axiata Sri Lanka</t>
  </si>
  <si>
    <t>LKAHT</t>
  </si>
  <si>
    <t>Hutchison Telecommunications Lanka</t>
  </si>
  <si>
    <t>LKA71</t>
  </si>
  <si>
    <t>Mobitel Sri Lanka</t>
  </si>
  <si>
    <t>SWEHU</t>
  </si>
  <si>
    <t>Sweden</t>
  </si>
  <si>
    <t>Hi3G Sweden</t>
  </si>
  <si>
    <t>SWEIQ</t>
  </si>
  <si>
    <t>Tele2 Sweden</t>
  </si>
  <si>
    <t>SWEEP</t>
  </si>
  <si>
    <t>Telenor Sweden</t>
  </si>
  <si>
    <t>SWETR</t>
  </si>
  <si>
    <t>TeliaSonera Sweden</t>
  </si>
  <si>
    <t>TZAMB</t>
  </si>
  <si>
    <t>Tanzania</t>
  </si>
  <si>
    <t xml:space="preserve">MIC (Mobitel) Tanzania </t>
  </si>
  <si>
    <t>TZAVC</t>
  </si>
  <si>
    <t>Vodacom Tanzania</t>
  </si>
  <si>
    <t>TZAZN</t>
  </si>
  <si>
    <t>Zanzibar Telecom (ZantTel)</t>
  </si>
  <si>
    <t>BELMO</t>
  </si>
  <si>
    <t>YUGTS</t>
  </si>
  <si>
    <t xml:space="preserve">A1 Srbija d.o.o. Beograd </t>
  </si>
  <si>
    <t>Yettel d.o.o. Belgrade</t>
  </si>
  <si>
    <t>Telekom Srbija a.d.</t>
  </si>
  <si>
    <t>TZAVG</t>
  </si>
  <si>
    <t>Viettel Tanzania Limited</t>
  </si>
  <si>
    <t>PERN3</t>
  </si>
  <si>
    <t>PERVG</t>
  </si>
  <si>
    <t>PERMO</t>
  </si>
  <si>
    <t>Entel Perú S.A.</t>
  </si>
  <si>
    <t>Viettel Peru S.A.C.</t>
  </si>
  <si>
    <t>Telefónica del Perú S.A.A.</t>
  </si>
  <si>
    <t>Peru</t>
  </si>
  <si>
    <t>ROMMF</t>
  </si>
  <si>
    <t>MEXN3</t>
  </si>
  <si>
    <t>SWETG</t>
  </si>
  <si>
    <t>SWECN</t>
  </si>
  <si>
    <t>SWESM</t>
  </si>
  <si>
    <t>Rate</t>
  </si>
  <si>
    <t>MNC</t>
  </si>
  <si>
    <t>MCC</t>
  </si>
  <si>
    <t>Routage</t>
  </si>
  <si>
    <t>2G</t>
  </si>
  <si>
    <t>GPRS/3G</t>
  </si>
  <si>
    <t>LTE</t>
  </si>
  <si>
    <t>MNETM</t>
  </si>
  <si>
    <t xml:space="preserve">Crnogorski Telekom a.d. Podgorica </t>
  </si>
  <si>
    <t>MTEL d.o.o. Podgorica</t>
  </si>
  <si>
    <t>One Crna Gora DOO</t>
  </si>
  <si>
    <t>02</t>
  </si>
  <si>
    <t>03</t>
  </si>
  <si>
    <t>01</t>
  </si>
  <si>
    <t>AUTMM</t>
  </si>
  <si>
    <t xml:space="preserve"> Armenia</t>
  </si>
  <si>
    <t>hLR BARRING</t>
  </si>
  <si>
    <t>CHLTM</t>
  </si>
  <si>
    <t>Telefónica Móvil de Chile S.A.</t>
  </si>
  <si>
    <t>GBRJT</t>
  </si>
  <si>
    <t>GBRMT</t>
  </si>
  <si>
    <t>GBRGT</t>
  </si>
  <si>
    <t>JT (Jersey) Limited</t>
  </si>
  <si>
    <t>Manx Telecom</t>
  </si>
  <si>
    <t>SURE Ltd</t>
  </si>
  <si>
    <t>Bangladesh</t>
  </si>
  <si>
    <t>Benin</t>
  </si>
  <si>
    <t>Ethiopia</t>
  </si>
  <si>
    <t>French Polynesia</t>
  </si>
  <si>
    <t>Guatemala</t>
  </si>
  <si>
    <t>Honduras</t>
  </si>
  <si>
    <t>Liberia</t>
  </si>
  <si>
    <t>Pakistan</t>
  </si>
  <si>
    <t>Rwanda</t>
  </si>
  <si>
    <t>Vietnam</t>
  </si>
  <si>
    <t>Zambia</t>
  </si>
  <si>
    <t>BHSNC</t>
  </si>
  <si>
    <t>BHSBH</t>
  </si>
  <si>
    <t>Be Aliv Limited</t>
  </si>
  <si>
    <t>Bahamas</t>
  </si>
  <si>
    <t xml:space="preserve">BTC Bahamas Telecommunications Company </t>
  </si>
  <si>
    <t>BGDAK</t>
  </si>
  <si>
    <t>BGDGP</t>
  </si>
  <si>
    <t>Robi Axiata Limited</t>
  </si>
  <si>
    <t>Grameenphone Ltd</t>
  </si>
  <si>
    <t>BENBB</t>
  </si>
  <si>
    <t>BEN02</t>
  </si>
  <si>
    <t>BENSP</t>
  </si>
  <si>
    <t>BEN07</t>
  </si>
  <si>
    <t>Bell Benin Communications (BBCOM)</t>
  </si>
  <si>
    <t>Etisalat Benin SA</t>
  </si>
  <si>
    <t>Spacetel-Benin</t>
  </si>
  <si>
    <t>SBIN Benin</t>
  </si>
  <si>
    <t>HT Eronet</t>
  </si>
  <si>
    <t>RS Telecommunications JSC Banja Luka</t>
  </si>
  <si>
    <t>BIHER</t>
  </si>
  <si>
    <t>BIHMS</t>
  </si>
  <si>
    <t>Bosnia &amp; Herzegovina</t>
  </si>
  <si>
    <t>Ethio Telecom</t>
  </si>
  <si>
    <t>Safaricom Ethiopia</t>
  </si>
  <si>
    <t>ETH01</t>
  </si>
  <si>
    <t>ETH02</t>
  </si>
  <si>
    <t>Onati S.A.S.</t>
  </si>
  <si>
    <t>Pacific Mobile Telecom</t>
  </si>
  <si>
    <t>FRATK</t>
  </si>
  <si>
    <t>PYFVF</t>
  </si>
  <si>
    <t>Comunicaciones Celulares S.A.</t>
  </si>
  <si>
    <t>GTMCM</t>
  </si>
  <si>
    <t>GTMSC</t>
  </si>
  <si>
    <t>Telecomunicaciones de Guatemala, . (TELGUA)</t>
  </si>
  <si>
    <t xml:space="preserve">Telefónica Celular, S.A. (CELTEL)  </t>
  </si>
  <si>
    <t>HNDME</t>
  </si>
  <si>
    <t>HND02</t>
  </si>
  <si>
    <t>Servicios de Comunicaciones de Honduras</t>
  </si>
  <si>
    <t>Lonestar Communications Corporation</t>
  </si>
  <si>
    <t xml:space="preserve">Orange (Cellcom) Liberia </t>
  </si>
  <si>
    <t>LBRLC</t>
  </si>
  <si>
    <t>LBR07</t>
  </si>
  <si>
    <t>CMPak Limited</t>
  </si>
  <si>
    <t xml:space="preserve">Pakistan Mobile Communications Limited </t>
  </si>
  <si>
    <t xml:space="preserve">Warid (Pakistan Mobile Communications </t>
  </si>
  <si>
    <t>PAKPL</t>
  </si>
  <si>
    <t>PAKMK</t>
  </si>
  <si>
    <t>PAKWA</t>
  </si>
  <si>
    <t>Bharti Airtel Rwanda Holdings B.V.</t>
  </si>
  <si>
    <t>MTN RwandaCell PLC</t>
  </si>
  <si>
    <t>RWATG</t>
  </si>
  <si>
    <t>RWAAR</t>
  </si>
  <si>
    <t>RWAMN</t>
  </si>
  <si>
    <t>GTEL Mobile Joint Stock Company (GTEL Mobile)</t>
  </si>
  <si>
    <t>Vietnamobile Telecommunications Joint Stock Company</t>
  </si>
  <si>
    <t>Viettel Group</t>
  </si>
  <si>
    <t>VMS Mobifone</t>
  </si>
  <si>
    <t>Vinaphone (Vietnam Posts and Telecommunications Group</t>
  </si>
  <si>
    <t>VNMBL</t>
  </si>
  <si>
    <t>VNMVM</t>
  </si>
  <si>
    <t>VNMVT</t>
  </si>
  <si>
    <t>VNMVI</t>
  </si>
  <si>
    <t>VNMMO</t>
  </si>
  <si>
    <t>MTN (Zambia) Ltd</t>
  </si>
  <si>
    <t>Zamtel Zambia</t>
  </si>
  <si>
    <t>ZMB02</t>
  </si>
  <si>
    <t>ZMBCZ</t>
  </si>
  <si>
    <t>Telenor</t>
  </si>
  <si>
    <t>One Albania</t>
  </si>
  <si>
    <t>Mauricius</t>
  </si>
  <si>
    <t>MUSCP</t>
  </si>
  <si>
    <t>MUSMT</t>
  </si>
  <si>
    <t>Cellplus Mobile Communications Ltd.</t>
  </si>
  <si>
    <t>Mahanagar Telephone (Mauritius) Ltd.</t>
  </si>
  <si>
    <t>Plan de steering du 04/03/2025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</si>
</sst>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name val="Helvetica 55 Roman"/>
    </font>
    <font>
      <sz val="10"/>
      <color theme="1"/>
      <name val="Helvetica 55 Roman"/>
    </font>
    <font>
      <b/>
      <sz val="10"/>
      <color theme="1"/>
      <name val="Helvetica 55 Roman"/>
    </font>
    <font>
      <b/>
      <sz val="10"/>
      <color rgb="FF003D6B"/>
      <name val="Helvetica 55 Roman"/>
    </font>
    <font>
      <sz val="9"/>
      <color theme="1"/>
      <name val="Helvetica 55 Roman"/>
    </font>
    <font>
      <sz val="10"/>
      <color theme="1"/>
      <name val="Helvetica 45 Light"/>
      <family val="2"/>
    </font>
    <font>
      <sz val="10"/>
      <color rgb="FF000000"/>
      <name val="Helvetica 45 Light"/>
      <family val="2"/>
    </font>
    <font>
      <sz val="10"/>
      <color rgb="FF010000"/>
      <name val="Helvetica 45 Light"/>
      <family val="2"/>
    </font>
    <font>
      <sz val="10"/>
      <name val="Helvetica 45 Light"/>
      <family val="2"/>
    </font>
    <font>
      <sz val="9"/>
      <name val="Helvetica 55 Roman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medium">
        <color indexed="64"/>
      </top>
      <bottom style="thin">
        <color theme="9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indexed="64"/>
      </right>
      <top/>
      <bottom/>
      <diagonal/>
    </border>
    <border>
      <left style="thin">
        <color theme="5"/>
      </left>
      <right style="thin">
        <color indexed="64"/>
      </right>
      <top/>
      <bottom style="medium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5"/>
      </left>
      <right style="thin">
        <color indexed="64"/>
      </right>
      <top style="medium">
        <color indexed="64"/>
      </top>
      <bottom/>
      <diagonal/>
    </border>
    <border>
      <left style="thin">
        <color theme="5"/>
      </left>
      <right style="thin">
        <color theme="5"/>
      </right>
      <top style="medium">
        <color indexed="64"/>
      </top>
      <bottom style="thin">
        <color theme="5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right"/>
    </xf>
    <xf numFmtId="0" fontId="1" fillId="0" borderId="13" xfId="0" applyFont="1" applyFill="1" applyBorder="1" applyAlignment="1">
      <alignment horizontal="right"/>
    </xf>
    <xf numFmtId="0" fontId="1" fillId="0" borderId="15" xfId="0" applyFont="1" applyFill="1" applyBorder="1" applyAlignment="1">
      <alignment horizontal="right"/>
    </xf>
    <xf numFmtId="0" fontId="1" fillId="0" borderId="0" xfId="0" applyFont="1" applyFill="1" applyAlignment="1">
      <alignment horizontal="right"/>
    </xf>
    <xf numFmtId="0" fontId="1" fillId="0" borderId="12" xfId="0" applyFont="1" applyFill="1" applyBorder="1" applyAlignment="1">
      <alignment horizontal="right"/>
    </xf>
    <xf numFmtId="0" fontId="1" fillId="0" borderId="20" xfId="0" applyFont="1" applyFill="1" applyBorder="1" applyAlignment="1">
      <alignment horizontal="right"/>
    </xf>
    <xf numFmtId="0" fontId="1" fillId="0" borderId="27" xfId="0" applyFont="1" applyFill="1" applyBorder="1" applyAlignment="1">
      <alignment horizontal="right"/>
    </xf>
    <xf numFmtId="0" fontId="1" fillId="0" borderId="26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1" fillId="0" borderId="28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center"/>
    </xf>
    <xf numFmtId="0" fontId="8" fillId="0" borderId="5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26" xfId="0" applyFont="1" applyFill="1" applyBorder="1" applyAlignment="1">
      <alignment horizontal="center"/>
    </xf>
    <xf numFmtId="0" fontId="1" fillId="0" borderId="20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right" vertical="center"/>
    </xf>
    <xf numFmtId="0" fontId="1" fillId="0" borderId="20" xfId="0" applyFont="1" applyFill="1" applyBorder="1" applyAlignment="1">
      <alignment horizontal="right" vertical="center"/>
    </xf>
    <xf numFmtId="0" fontId="1" fillId="0" borderId="12" xfId="0" applyFont="1" applyFill="1" applyBorder="1" applyAlignment="1">
      <alignment horizontal="right" vertical="center"/>
    </xf>
    <xf numFmtId="0" fontId="1" fillId="0" borderId="15" xfId="0" applyFont="1" applyFill="1" applyBorder="1" applyAlignment="1">
      <alignment horizontal="right" vertical="center"/>
    </xf>
    <xf numFmtId="0" fontId="2" fillId="0" borderId="12" xfId="0" applyFont="1" applyFill="1" applyBorder="1" applyAlignment="1">
      <alignment horizontal="right" vertical="center"/>
    </xf>
    <xf numFmtId="0" fontId="2" fillId="0" borderId="13" xfId="0" applyFont="1" applyFill="1" applyBorder="1" applyAlignment="1">
      <alignment horizontal="right" vertical="center"/>
    </xf>
    <xf numFmtId="0" fontId="2" fillId="0" borderId="15" xfId="0" applyFont="1" applyFill="1" applyBorder="1" applyAlignment="1">
      <alignment horizontal="right" vertical="center"/>
    </xf>
    <xf numFmtId="0" fontId="2" fillId="0" borderId="26" xfId="0" applyFont="1" applyFill="1" applyBorder="1" applyAlignment="1">
      <alignment horizontal="right" vertical="center"/>
    </xf>
    <xf numFmtId="0" fontId="2" fillId="0" borderId="20" xfId="0" applyFont="1" applyFill="1" applyBorder="1" applyAlignment="1">
      <alignment horizontal="right" vertical="center"/>
    </xf>
    <xf numFmtId="0" fontId="1" fillId="0" borderId="28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/>
    </xf>
    <xf numFmtId="0" fontId="8" fillId="0" borderId="29" xfId="0" applyFont="1" applyFill="1" applyBorder="1" applyAlignment="1">
      <alignment horizontal="center" vertical="center" wrapText="1"/>
    </xf>
    <xf numFmtId="0" fontId="8" fillId="0" borderId="30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right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right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right"/>
    </xf>
    <xf numFmtId="0" fontId="1" fillId="0" borderId="2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right"/>
    </xf>
    <xf numFmtId="0" fontId="1" fillId="0" borderId="6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right"/>
    </xf>
    <xf numFmtId="0" fontId="1" fillId="0" borderId="7" xfId="0" applyFont="1" applyFill="1" applyBorder="1" applyAlignment="1">
      <alignment horizontal="center"/>
    </xf>
    <xf numFmtId="0" fontId="1" fillId="0" borderId="33" xfId="0" applyFont="1" applyFill="1" applyBorder="1" applyAlignment="1">
      <alignment horizontal="right"/>
    </xf>
    <xf numFmtId="0" fontId="1" fillId="0" borderId="34" xfId="0" applyFont="1" applyFill="1" applyBorder="1" applyAlignment="1">
      <alignment horizontal="right"/>
    </xf>
    <xf numFmtId="0" fontId="1" fillId="0" borderId="35" xfId="0" applyFont="1" applyFill="1" applyBorder="1" applyAlignment="1">
      <alignment horizontal="right"/>
    </xf>
    <xf numFmtId="0" fontId="1" fillId="0" borderId="36" xfId="0" applyFont="1" applyFill="1" applyBorder="1" applyAlignment="1">
      <alignment horizontal="right"/>
    </xf>
    <xf numFmtId="0" fontId="1" fillId="0" borderId="37" xfId="0" applyFont="1" applyFill="1" applyBorder="1" applyAlignment="1">
      <alignment horizontal="right"/>
    </xf>
    <xf numFmtId="0" fontId="8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right"/>
    </xf>
    <xf numFmtId="0" fontId="8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right"/>
    </xf>
    <xf numFmtId="0" fontId="1" fillId="0" borderId="38" xfId="0" applyFont="1" applyFill="1" applyBorder="1" applyAlignment="1">
      <alignment horizontal="right"/>
    </xf>
    <xf numFmtId="0" fontId="1" fillId="0" borderId="4" xfId="0" applyFont="1" applyFill="1" applyBorder="1" applyAlignment="1">
      <alignment horizontal="center"/>
    </xf>
    <xf numFmtId="0" fontId="1" fillId="0" borderId="39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right" vertical="center"/>
    </xf>
    <xf numFmtId="0" fontId="8" fillId="0" borderId="4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right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right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right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right" vertical="center"/>
    </xf>
    <xf numFmtId="0" fontId="2" fillId="2" borderId="25" xfId="0" applyFont="1" applyFill="1" applyBorder="1" applyAlignment="1">
      <alignment horizontal="center" vertical="center"/>
    </xf>
    <xf numFmtId="0" fontId="1" fillId="2" borderId="6" xfId="0" applyFont="1" applyFill="1" applyBorder="1"/>
    <xf numFmtId="0" fontId="1" fillId="2" borderId="2" xfId="0" applyFont="1" applyFill="1" applyBorder="1"/>
    <xf numFmtId="0" fontId="1" fillId="2" borderId="7" xfId="0" applyFont="1" applyFill="1" applyBorder="1"/>
    <xf numFmtId="0" fontId="1" fillId="2" borderId="4" xfId="0" applyFont="1" applyFill="1" applyBorder="1"/>
    <xf numFmtId="0" fontId="1" fillId="2" borderId="1" xfId="0" applyFont="1" applyFill="1" applyBorder="1"/>
    <xf numFmtId="0" fontId="1" fillId="2" borderId="4" xfId="0" applyFont="1" applyFill="1" applyBorder="1" applyAlignment="1">
      <alignment vertical="center" wrapText="1"/>
    </xf>
    <xf numFmtId="0" fontId="1" fillId="2" borderId="6" xfId="0" applyFont="1" applyFill="1" applyBorder="1" applyAlignment="1"/>
    <xf numFmtId="0" fontId="1" fillId="2" borderId="7" xfId="0" applyFont="1" applyFill="1" applyBorder="1" applyAlignment="1"/>
    <xf numFmtId="0" fontId="1" fillId="2" borderId="4" xfId="0" applyFont="1" applyFill="1" applyBorder="1" applyAlignment="1"/>
    <xf numFmtId="0" fontId="1" fillId="2" borderId="2" xfId="0" applyFont="1" applyFill="1" applyBorder="1" applyAlignment="1"/>
    <xf numFmtId="0" fontId="1" fillId="2" borderId="1" xfId="0" applyFont="1" applyFill="1" applyBorder="1" applyAlignment="1"/>
    <xf numFmtId="0" fontId="1" fillId="2" borderId="4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23" xfId="0" applyFont="1" applyFill="1" applyBorder="1" applyAlignment="1">
      <alignment horizontal="left"/>
    </xf>
    <xf numFmtId="0" fontId="1" fillId="2" borderId="3" xfId="0" applyFont="1" applyFill="1" applyBorder="1" applyAlignment="1"/>
    <xf numFmtId="0" fontId="7" fillId="2" borderId="2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2" fillId="0" borderId="25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right" vertical="center"/>
    </xf>
    <xf numFmtId="0" fontId="6" fillId="0" borderId="16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0" fillId="0" borderId="0" xfId="0" applyFill="1"/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6" fillId="2" borderId="22" xfId="0" applyFont="1" applyFill="1" applyBorder="1"/>
    <xf numFmtId="0" fontId="6" fillId="2" borderId="16" xfId="0" applyFont="1" applyFill="1" applyBorder="1"/>
    <xf numFmtId="0" fontId="6" fillId="2" borderId="19" xfId="0" applyFont="1" applyFill="1" applyBorder="1"/>
    <xf numFmtId="0" fontId="6" fillId="2" borderId="2" xfId="0" applyFont="1" applyFill="1" applyBorder="1"/>
    <xf numFmtId="0" fontId="6" fillId="2" borderId="7" xfId="0" applyFont="1" applyFill="1" applyBorder="1"/>
    <xf numFmtId="0" fontId="5" fillId="2" borderId="1" xfId="0" applyFont="1" applyFill="1" applyBorder="1" applyAlignment="1">
      <alignment horizontal="left"/>
    </xf>
    <xf numFmtId="0" fontId="5" fillId="0" borderId="20" xfId="0" applyFont="1" applyFill="1" applyBorder="1" applyAlignment="1">
      <alignment horizontal="center"/>
    </xf>
    <xf numFmtId="0" fontId="5" fillId="0" borderId="20" xfId="0" applyFont="1" applyFill="1" applyBorder="1" applyAlignment="1">
      <alignment horizontal="right"/>
    </xf>
    <xf numFmtId="0" fontId="4" fillId="0" borderId="24" xfId="0" applyFont="1" applyFill="1" applyBorder="1" applyAlignment="1">
      <alignment horizontal="center" vertical="center" wrapText="1"/>
    </xf>
    <xf numFmtId="0" fontId="6" fillId="0" borderId="31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6" fillId="2" borderId="6" xfId="0" applyFont="1" applyFill="1" applyBorder="1"/>
    <xf numFmtId="0" fontId="6" fillId="2" borderId="1" xfId="0" applyFont="1" applyFill="1" applyBorder="1"/>
    <xf numFmtId="0" fontId="9" fillId="2" borderId="6" xfId="0" applyFont="1" applyFill="1" applyBorder="1"/>
    <xf numFmtId="0" fontId="9" fillId="2" borderId="2" xfId="0" applyFont="1" applyFill="1" applyBorder="1"/>
    <xf numFmtId="0" fontId="9" fillId="2" borderId="7" xfId="0" applyFont="1" applyFill="1" applyBorder="1"/>
    <xf numFmtId="0" fontId="2" fillId="2" borderId="6" xfId="0" applyFont="1" applyFill="1" applyBorder="1"/>
    <xf numFmtId="0" fontId="6" fillId="0" borderId="5" xfId="0" applyFont="1" applyFill="1" applyBorder="1" applyAlignment="1">
      <alignment horizontal="center" vertical="center"/>
    </xf>
    <xf numFmtId="0" fontId="6" fillId="0" borderId="40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/>
    </xf>
    <xf numFmtId="0" fontId="6" fillId="0" borderId="31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9" fillId="0" borderId="32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right"/>
    </xf>
    <xf numFmtId="0" fontId="5" fillId="0" borderId="6" xfId="0" applyFont="1" applyFill="1" applyBorder="1" applyAlignment="1">
      <alignment horizontal="center"/>
    </xf>
    <xf numFmtId="0" fontId="5" fillId="0" borderId="12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right"/>
    </xf>
    <xf numFmtId="0" fontId="5" fillId="0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right"/>
    </xf>
    <xf numFmtId="0" fontId="5" fillId="0" borderId="2" xfId="0" applyFont="1" applyFill="1" applyBorder="1" applyAlignment="1">
      <alignment horizontal="center"/>
    </xf>
    <xf numFmtId="0" fontId="5" fillId="0" borderId="13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right"/>
    </xf>
    <xf numFmtId="0" fontId="5" fillId="0" borderId="7" xfId="0" applyFont="1" applyFill="1" applyBorder="1" applyAlignment="1">
      <alignment horizontal="center"/>
    </xf>
    <xf numFmtId="0" fontId="5" fillId="0" borderId="15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right"/>
    </xf>
    <xf numFmtId="0" fontId="5" fillId="0" borderId="8" xfId="0" applyFont="1" applyFill="1" applyBorder="1" applyAlignment="1">
      <alignment horizontal="center"/>
    </xf>
    <xf numFmtId="0" fontId="5" fillId="0" borderId="41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right"/>
    </xf>
    <xf numFmtId="0" fontId="10" fillId="0" borderId="6" xfId="0" applyFont="1" applyFill="1" applyBorder="1" applyAlignment="1">
      <alignment horizontal="center"/>
    </xf>
    <xf numFmtId="0" fontId="10" fillId="0" borderId="1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right"/>
    </xf>
    <xf numFmtId="0" fontId="10" fillId="0" borderId="2" xfId="0" applyFont="1" applyFill="1" applyBorder="1" applyAlignment="1">
      <alignment horizontal="center"/>
    </xf>
    <xf numFmtId="0" fontId="10" fillId="0" borderId="13" xfId="0" applyFont="1" applyFill="1" applyBorder="1" applyAlignment="1">
      <alignment horizontal="center"/>
    </xf>
    <xf numFmtId="0" fontId="10" fillId="0" borderId="7" xfId="0" applyFont="1" applyFill="1" applyBorder="1" applyAlignment="1">
      <alignment horizontal="right"/>
    </xf>
    <xf numFmtId="0" fontId="10" fillId="0" borderId="7" xfId="0" applyFont="1" applyFill="1" applyBorder="1" applyAlignment="1">
      <alignment horizontal="center"/>
    </xf>
    <xf numFmtId="0" fontId="10" fillId="0" borderId="15" xfId="0" applyFont="1" applyFill="1" applyBorder="1" applyAlignment="1">
      <alignment horizontal="center"/>
    </xf>
    <xf numFmtId="0" fontId="2" fillId="2" borderId="1" xfId="0" applyFont="1" applyFill="1" applyBorder="1"/>
    <xf numFmtId="0" fontId="1" fillId="0" borderId="26" xfId="0" applyFont="1" applyFill="1" applyBorder="1" applyAlignment="1">
      <alignment horizontal="right" vertical="center"/>
    </xf>
    <xf numFmtId="0" fontId="6" fillId="0" borderId="3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right"/>
    </xf>
    <xf numFmtId="0" fontId="1" fillId="3" borderId="6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8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right"/>
    </xf>
    <xf numFmtId="0" fontId="1" fillId="3" borderId="7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</cellXfs>
  <cellStyles count="1">
    <cellStyle name="Normal" xfId="0" builtinId="0"/>
  </cellStyles>
  <dxfs count="2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tnfileserver\Racine\DPROG\ROAMING%20INTERNATIONAL\OUVERTURES\NEW\Roaming%202024\Global%20Roaming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tination"/>
      <sheetName val="TCD"/>
      <sheetName val="Number of RP by country"/>
      <sheetName val="Graphique1"/>
      <sheetName val="Global Roaming"/>
      <sheetName val="Rapport"/>
      <sheetName val="dynamic data"/>
      <sheetName val="Wholesale Rate TAPIN"/>
      <sheetName val="Wholesale Rate TAPOUT"/>
      <sheetName val="Steering plan"/>
      <sheetName val="Pass Roaming Historique"/>
      <sheetName val="OPEX"/>
      <sheetName val="Network Closure Report GSMA"/>
      <sheetName val="Sunset Report "/>
      <sheetName val="Lists"/>
      <sheetName val="Country codes &amp; Currencies"/>
      <sheetName val="Zones"/>
      <sheetName val="Liaison steering"/>
    </sheetNames>
    <sheetDataSet>
      <sheetData sheetId="0"/>
      <sheetData sheetId="1"/>
      <sheetData sheetId="2"/>
      <sheetData sheetId="3" refreshError="1"/>
      <sheetData sheetId="4">
        <row r="1">
          <cell r="F1" t="str">
            <v>Tadig code</v>
          </cell>
          <cell r="G1" t="str">
            <v>Alias Hub</v>
          </cell>
          <cell r="H1" t="str">
            <v>MCC</v>
          </cell>
          <cell r="I1" t="str">
            <v>MNC</v>
          </cell>
          <cell r="J1" t="str">
            <v>NRTRDE</v>
          </cell>
          <cell r="K1" t="str">
            <v>Voice 2G IB</v>
          </cell>
          <cell r="L1" t="str">
            <v>Voice 2G OB</v>
          </cell>
          <cell r="M1" t="str">
            <v>CAMEL (Prepaid) IB</v>
          </cell>
          <cell r="N1" t="str">
            <v>CAMEL (Prepaid)OB</v>
          </cell>
          <cell r="O1" t="str">
            <v>GPRS IB</v>
          </cell>
          <cell r="P1" t="str">
            <v>GPRS OB</v>
          </cell>
          <cell r="Q1" t="str">
            <v>3G IB</v>
          </cell>
          <cell r="R1" t="str">
            <v>3G OB</v>
          </cell>
          <cell r="S1" t="str">
            <v>LTE/4G IB</v>
          </cell>
          <cell r="T1" t="str">
            <v>LTE/4G OB</v>
          </cell>
          <cell r="U1" t="str">
            <v>VoLTE IB</v>
          </cell>
          <cell r="V1" t="str">
            <v>VoLTE OB</v>
          </cell>
          <cell r="W1" t="str">
            <v>5G IB</v>
          </cell>
          <cell r="X1" t="str">
            <v>5G OB</v>
          </cell>
          <cell r="Y1" t="str">
            <v>Status</v>
          </cell>
          <cell r="Z1" t="str">
            <v>Routage</v>
          </cell>
        </row>
        <row r="2">
          <cell r="F2" t="str">
            <v>MNETM</v>
          </cell>
          <cell r="G2"/>
          <cell r="H2">
            <v>297</v>
          </cell>
          <cell r="I2" t="str">
            <v>02</v>
          </cell>
          <cell r="J2" t="str">
            <v>x</v>
          </cell>
          <cell r="K2" t="str">
            <v>YES</v>
          </cell>
          <cell r="L2" t="str">
            <v>YES</v>
          </cell>
          <cell r="M2"/>
          <cell r="N2"/>
          <cell r="O2" t="str">
            <v>YES</v>
          </cell>
          <cell r="P2" t="str">
            <v>YES</v>
          </cell>
          <cell r="Q2" t="str">
            <v>YES</v>
          </cell>
          <cell r="R2" t="str">
            <v>YES</v>
          </cell>
          <cell r="S2"/>
          <cell r="T2"/>
          <cell r="U2"/>
          <cell r="V2"/>
          <cell r="W2"/>
          <cell r="X2"/>
          <cell r="Y2" t="str">
            <v>Live</v>
          </cell>
          <cell r="Z2" t="str">
            <v>Bilateral</v>
          </cell>
        </row>
        <row r="3">
          <cell r="F3" t="str">
            <v>TCDML</v>
          </cell>
          <cell r="G3"/>
          <cell r="H3">
            <v>622</v>
          </cell>
          <cell r="I3" t="str">
            <v>03</v>
          </cell>
          <cell r="J3" t="str">
            <v>x</v>
          </cell>
          <cell r="K3" t="str">
            <v>YES</v>
          </cell>
          <cell r="L3" t="str">
            <v>YES</v>
          </cell>
          <cell r="M3" t="str">
            <v>YES</v>
          </cell>
          <cell r="N3" t="str">
            <v>YES</v>
          </cell>
          <cell r="O3" t="str">
            <v>YES</v>
          </cell>
          <cell r="P3" t="str">
            <v>YES</v>
          </cell>
          <cell r="Q3" t="str">
            <v>YES</v>
          </cell>
          <cell r="R3" t="str">
            <v>YES</v>
          </cell>
          <cell r="S3"/>
          <cell r="T3"/>
          <cell r="U3"/>
          <cell r="V3"/>
          <cell r="W3"/>
          <cell r="X3"/>
          <cell r="Y3" t="str">
            <v>Live</v>
          </cell>
          <cell r="Z3" t="str">
            <v>Bilateral</v>
          </cell>
        </row>
        <row r="4">
          <cell r="F4" t="str">
            <v>NGAEM</v>
          </cell>
          <cell r="G4" t="str">
            <v>NGAK6</v>
          </cell>
          <cell r="H4">
            <v>621</v>
          </cell>
          <cell r="I4" t="str">
            <v>60</v>
          </cell>
          <cell r="J4" t="str">
            <v>x</v>
          </cell>
          <cell r="K4" t="str">
            <v>YES</v>
          </cell>
          <cell r="L4" t="str">
            <v>YES</v>
          </cell>
          <cell r="M4" t="str">
            <v>YES</v>
          </cell>
          <cell r="N4" t="str">
            <v>YES</v>
          </cell>
          <cell r="O4" t="str">
            <v>YES</v>
          </cell>
          <cell r="P4" t="str">
            <v>YES</v>
          </cell>
          <cell r="Q4" t="str">
            <v>YES</v>
          </cell>
          <cell r="R4" t="str">
            <v>YES</v>
          </cell>
          <cell r="S4" t="str">
            <v>YES</v>
          </cell>
          <cell r="T4" t="str">
            <v>YES</v>
          </cell>
          <cell r="U4"/>
          <cell r="V4"/>
          <cell r="W4"/>
          <cell r="X4"/>
          <cell r="Y4" t="str">
            <v>Live</v>
          </cell>
          <cell r="Z4" t="str">
            <v>Comfone</v>
          </cell>
        </row>
        <row r="5">
          <cell r="F5" t="str">
            <v>SVNSM</v>
          </cell>
          <cell r="G5"/>
          <cell r="H5" t="str">
            <v>293</v>
          </cell>
          <cell r="I5" t="str">
            <v>40</v>
          </cell>
          <cell r="J5" t="str">
            <v>x</v>
          </cell>
          <cell r="K5" t="str">
            <v>YES</v>
          </cell>
          <cell r="L5" t="str">
            <v>YES</v>
          </cell>
          <cell r="M5" t="str">
            <v>YES</v>
          </cell>
          <cell r="N5" t="str">
            <v>YES</v>
          </cell>
          <cell r="O5" t="str">
            <v>YES</v>
          </cell>
          <cell r="P5" t="str">
            <v>Arrêté</v>
          </cell>
          <cell r="Q5" t="str">
            <v>YES</v>
          </cell>
          <cell r="R5" t="str">
            <v>Arrêté</v>
          </cell>
          <cell r="S5" t="str">
            <v>YES</v>
          </cell>
          <cell r="T5" t="str">
            <v>YES</v>
          </cell>
          <cell r="U5"/>
          <cell r="V5"/>
          <cell r="W5"/>
          <cell r="X5"/>
          <cell r="Y5" t="str">
            <v>Live</v>
          </cell>
          <cell r="Z5" t="str">
            <v>Bilateral</v>
          </cell>
        </row>
        <row r="6">
          <cell r="F6" t="str">
            <v>BGR01</v>
          </cell>
          <cell r="G6"/>
          <cell r="H6">
            <v>284</v>
          </cell>
          <cell r="I6" t="str">
            <v>01</v>
          </cell>
          <cell r="J6" t="str">
            <v>x</v>
          </cell>
          <cell r="K6" t="str">
            <v>YES</v>
          </cell>
          <cell r="L6" t="str">
            <v>YES</v>
          </cell>
          <cell r="M6" t="str">
            <v>YES</v>
          </cell>
          <cell r="N6" t="str">
            <v>YES</v>
          </cell>
          <cell r="O6" t="str">
            <v>YES</v>
          </cell>
          <cell r="P6" t="str">
            <v>YES</v>
          </cell>
          <cell r="Q6" t="str">
            <v>YES</v>
          </cell>
          <cell r="R6" t="str">
            <v>YES</v>
          </cell>
          <cell r="S6" t="str">
            <v>YES</v>
          </cell>
          <cell r="T6" t="str">
            <v>YES</v>
          </cell>
          <cell r="U6"/>
          <cell r="V6"/>
          <cell r="W6"/>
          <cell r="X6"/>
          <cell r="Y6" t="str">
            <v>Live</v>
          </cell>
          <cell r="Z6" t="str">
            <v>Bilateral</v>
          </cell>
        </row>
        <row r="7">
          <cell r="F7" t="str">
            <v>HRVVI</v>
          </cell>
          <cell r="G7"/>
          <cell r="H7">
            <v>219</v>
          </cell>
          <cell r="I7" t="str">
            <v>10</v>
          </cell>
          <cell r="J7" t="str">
            <v>x</v>
          </cell>
          <cell r="K7" t="str">
            <v>YES</v>
          </cell>
          <cell r="L7" t="str">
            <v>YES</v>
          </cell>
          <cell r="M7" t="str">
            <v>YES</v>
          </cell>
          <cell r="N7" t="str">
            <v>YES</v>
          </cell>
          <cell r="O7" t="str">
            <v>YES</v>
          </cell>
          <cell r="P7" t="str">
            <v>YES</v>
          </cell>
          <cell r="Q7" t="str">
            <v>YES</v>
          </cell>
          <cell r="R7" t="str">
            <v>YES</v>
          </cell>
          <cell r="S7" t="str">
            <v>YES</v>
          </cell>
          <cell r="T7" t="str">
            <v>YES</v>
          </cell>
          <cell r="U7"/>
          <cell r="V7"/>
          <cell r="W7"/>
          <cell r="X7"/>
          <cell r="Y7" t="str">
            <v>Live</v>
          </cell>
          <cell r="Z7" t="str">
            <v>Bilateral</v>
          </cell>
        </row>
        <row r="8">
          <cell r="F8" t="str">
            <v>MKDNO</v>
          </cell>
          <cell r="G8"/>
          <cell r="H8">
            <v>294</v>
          </cell>
          <cell r="I8" t="str">
            <v>03</v>
          </cell>
          <cell r="J8" t="str">
            <v>x</v>
          </cell>
          <cell r="K8" t="str">
            <v>YES</v>
          </cell>
          <cell r="L8" t="str">
            <v>YES</v>
          </cell>
          <cell r="M8" t="str">
            <v>YES</v>
          </cell>
          <cell r="N8" t="str">
            <v>YES</v>
          </cell>
          <cell r="O8" t="str">
            <v>YES</v>
          </cell>
          <cell r="P8" t="str">
            <v>YES</v>
          </cell>
          <cell r="Q8" t="str">
            <v>YES</v>
          </cell>
          <cell r="R8" t="str">
            <v>YES</v>
          </cell>
          <cell r="S8" t="str">
            <v>YES</v>
          </cell>
          <cell r="T8" t="str">
            <v>YES</v>
          </cell>
          <cell r="U8"/>
          <cell r="V8"/>
          <cell r="W8"/>
          <cell r="X8"/>
          <cell r="Y8" t="str">
            <v>Live</v>
          </cell>
          <cell r="Z8" t="str">
            <v>Bilateral</v>
          </cell>
        </row>
        <row r="9">
          <cell r="F9" t="str">
            <v>SRBNO</v>
          </cell>
          <cell r="G9"/>
          <cell r="H9">
            <v>220</v>
          </cell>
          <cell r="I9" t="str">
            <v>05</v>
          </cell>
          <cell r="J9" t="str">
            <v>x</v>
          </cell>
          <cell r="K9" t="str">
            <v>YES</v>
          </cell>
          <cell r="L9" t="str">
            <v>YES</v>
          </cell>
          <cell r="M9" t="str">
            <v>YES</v>
          </cell>
          <cell r="N9" t="str">
            <v>YES</v>
          </cell>
          <cell r="O9" t="str">
            <v>YES</v>
          </cell>
          <cell r="P9" t="str">
            <v>YES</v>
          </cell>
          <cell r="Q9" t="str">
            <v>YES</v>
          </cell>
          <cell r="R9" t="str">
            <v>YES</v>
          </cell>
          <cell r="S9" t="str">
            <v>YES</v>
          </cell>
          <cell r="T9" t="str">
            <v>YES</v>
          </cell>
          <cell r="U9"/>
          <cell r="V9"/>
          <cell r="W9"/>
          <cell r="X9"/>
          <cell r="Y9" t="str">
            <v>Live</v>
          </cell>
          <cell r="Z9" t="str">
            <v>Bilateral</v>
          </cell>
        </row>
        <row r="10">
          <cell r="F10" t="str">
            <v>AUTON</v>
          </cell>
          <cell r="G10"/>
          <cell r="H10">
            <v>232</v>
          </cell>
          <cell r="I10" t="str">
            <v>12</v>
          </cell>
          <cell r="J10" t="str">
            <v>x</v>
          </cell>
          <cell r="K10" t="str">
            <v>YES</v>
          </cell>
          <cell r="L10" t="str">
            <v>N.A</v>
          </cell>
          <cell r="M10" t="str">
            <v>YES</v>
          </cell>
          <cell r="N10" t="str">
            <v>N.A</v>
          </cell>
          <cell r="O10" t="str">
            <v>YES</v>
          </cell>
          <cell r="P10" t="str">
            <v>N.A</v>
          </cell>
          <cell r="Q10" t="str">
            <v>YES</v>
          </cell>
          <cell r="R10" t="str">
            <v>N.A</v>
          </cell>
          <cell r="S10" t="str">
            <v>YES</v>
          </cell>
          <cell r="T10" t="str">
            <v>N.A</v>
          </cell>
          <cell r="U10"/>
          <cell r="V10"/>
          <cell r="W10"/>
          <cell r="X10"/>
          <cell r="Y10" t="str">
            <v>Live</v>
          </cell>
          <cell r="Z10" t="str">
            <v>Bilateral</v>
          </cell>
        </row>
        <row r="11">
          <cell r="F11" t="str">
            <v>AUTPT</v>
          </cell>
          <cell r="G11"/>
          <cell r="H11">
            <v>232</v>
          </cell>
          <cell r="I11" t="str">
            <v>01</v>
          </cell>
          <cell r="J11"/>
          <cell r="K11" t="str">
            <v>YES</v>
          </cell>
          <cell r="L11" t="str">
            <v>YES</v>
          </cell>
          <cell r="M11" t="str">
            <v>YES</v>
          </cell>
          <cell r="N11" t="str">
            <v>YES</v>
          </cell>
          <cell r="O11" t="str">
            <v>YES</v>
          </cell>
          <cell r="P11" t="str">
            <v>YES</v>
          </cell>
          <cell r="Q11" t="str">
            <v>YES</v>
          </cell>
          <cell r="R11" t="str">
            <v>YES</v>
          </cell>
          <cell r="S11" t="str">
            <v>YES</v>
          </cell>
          <cell r="T11" t="str">
            <v>YES</v>
          </cell>
          <cell r="U11"/>
          <cell r="V11"/>
          <cell r="W11"/>
          <cell r="X11"/>
          <cell r="Y11" t="str">
            <v>Live</v>
          </cell>
          <cell r="Z11" t="str">
            <v>Bilateral</v>
          </cell>
        </row>
        <row r="12">
          <cell r="F12" t="str">
            <v>AUTMK</v>
          </cell>
          <cell r="G12"/>
          <cell r="H12" t="str">
            <v>232</v>
          </cell>
          <cell r="I12" t="str">
            <v>11</v>
          </cell>
          <cell r="J12"/>
          <cell r="K12" t="str">
            <v>YES</v>
          </cell>
          <cell r="L12" t="str">
            <v>N.A</v>
          </cell>
          <cell r="M12" t="str">
            <v>YES</v>
          </cell>
          <cell r="N12" t="str">
            <v>N.A</v>
          </cell>
          <cell r="O12" t="str">
            <v>YES</v>
          </cell>
          <cell r="P12" t="str">
            <v>N.A</v>
          </cell>
          <cell r="Q12" t="str">
            <v>YES</v>
          </cell>
          <cell r="R12" t="str">
            <v>N.A</v>
          </cell>
          <cell r="S12" t="str">
            <v>YES</v>
          </cell>
          <cell r="T12" t="str">
            <v>N.A</v>
          </cell>
          <cell r="U12"/>
          <cell r="V12"/>
          <cell r="W12"/>
          <cell r="X12"/>
          <cell r="Y12" t="str">
            <v>Live</v>
          </cell>
          <cell r="Z12" t="str">
            <v>Bilateral</v>
          </cell>
        </row>
        <row r="13">
          <cell r="F13" t="str">
            <v>NORAM</v>
          </cell>
          <cell r="G13"/>
          <cell r="H13" t="str">
            <v>901</v>
          </cell>
          <cell r="I13" t="str">
            <v>14</v>
          </cell>
          <cell r="J13" t="str">
            <v>x</v>
          </cell>
          <cell r="K13" t="str">
            <v>N.A</v>
          </cell>
          <cell r="L13" t="str">
            <v>YES</v>
          </cell>
          <cell r="M13"/>
          <cell r="N13"/>
          <cell r="O13" t="str">
            <v>N.A</v>
          </cell>
          <cell r="P13" t="str">
            <v>YES</v>
          </cell>
          <cell r="Q13" t="str">
            <v>N.A</v>
          </cell>
          <cell r="R13" t="str">
            <v>YES</v>
          </cell>
          <cell r="S13"/>
          <cell r="T13"/>
          <cell r="U13"/>
          <cell r="V13"/>
          <cell r="W13"/>
          <cell r="X13"/>
          <cell r="Y13" t="str">
            <v>Live</v>
          </cell>
          <cell r="Z13" t="str">
            <v>Bilateral</v>
          </cell>
        </row>
        <row r="14">
          <cell r="F14" t="str">
            <v>GMBAC</v>
          </cell>
          <cell r="G14"/>
          <cell r="H14" t="str">
            <v>607</v>
          </cell>
          <cell r="I14" t="str">
            <v>02</v>
          </cell>
          <cell r="J14" t="str">
            <v>x</v>
          </cell>
          <cell r="K14" t="str">
            <v>YES</v>
          </cell>
          <cell r="L14" t="str">
            <v>YES</v>
          </cell>
          <cell r="M14" t="str">
            <v>YES</v>
          </cell>
          <cell r="N14" t="str">
            <v>YES</v>
          </cell>
          <cell r="O14" t="str">
            <v>YES</v>
          </cell>
          <cell r="P14" t="str">
            <v>YES</v>
          </cell>
          <cell r="Q14" t="str">
            <v>YES</v>
          </cell>
          <cell r="R14" t="str">
            <v>YES</v>
          </cell>
          <cell r="S14" t="str">
            <v>YES</v>
          </cell>
          <cell r="T14" t="str">
            <v>Planned</v>
          </cell>
          <cell r="U14"/>
          <cell r="V14"/>
          <cell r="W14"/>
          <cell r="X14"/>
          <cell r="Y14" t="str">
            <v>Live</v>
          </cell>
          <cell r="Z14" t="str">
            <v>Bilateral</v>
          </cell>
        </row>
        <row r="15">
          <cell r="F15" t="str">
            <v>CODAC</v>
          </cell>
          <cell r="G15" t="str">
            <v>CODK9</v>
          </cell>
          <cell r="H15">
            <v>630</v>
          </cell>
          <cell r="I15" t="str">
            <v>90</v>
          </cell>
          <cell r="J15" t="str">
            <v>x</v>
          </cell>
          <cell r="K15" t="str">
            <v>YES</v>
          </cell>
          <cell r="L15" t="str">
            <v>YES</v>
          </cell>
          <cell r="M15" t="str">
            <v>YES</v>
          </cell>
          <cell r="N15" t="str">
            <v>YES</v>
          </cell>
          <cell r="O15" t="str">
            <v>YES</v>
          </cell>
          <cell r="P15" t="str">
            <v>YES</v>
          </cell>
          <cell r="Q15" t="str">
            <v>YES</v>
          </cell>
          <cell r="R15" t="str">
            <v>YES</v>
          </cell>
          <cell r="S15" t="str">
            <v>YES</v>
          </cell>
          <cell r="T15" t="str">
            <v>YES</v>
          </cell>
          <cell r="U15"/>
          <cell r="V15"/>
          <cell r="W15"/>
          <cell r="X15"/>
          <cell r="Y15" t="str">
            <v>Live</v>
          </cell>
          <cell r="Z15" t="str">
            <v>Comfone</v>
          </cell>
        </row>
        <row r="16">
          <cell r="F16" t="str">
            <v>SLEAC</v>
          </cell>
          <cell r="G16"/>
          <cell r="H16" t="str">
            <v>619</v>
          </cell>
          <cell r="I16" t="str">
            <v>05</v>
          </cell>
          <cell r="J16" t="str">
            <v>x</v>
          </cell>
          <cell r="K16" t="str">
            <v>YES</v>
          </cell>
          <cell r="L16" t="str">
            <v>YES</v>
          </cell>
          <cell r="M16" t="str">
            <v>Planned</v>
          </cell>
          <cell r="N16" t="str">
            <v>YES</v>
          </cell>
          <cell r="O16" t="str">
            <v>YES</v>
          </cell>
          <cell r="P16" t="str">
            <v>YES</v>
          </cell>
          <cell r="Q16" t="str">
            <v>YES</v>
          </cell>
          <cell r="R16" t="str">
            <v>YES</v>
          </cell>
          <cell r="S16" t="str">
            <v>YES</v>
          </cell>
          <cell r="T16" t="str">
            <v>YES</v>
          </cell>
          <cell r="U16"/>
          <cell r="V16"/>
          <cell r="W16"/>
          <cell r="X16"/>
          <cell r="Y16" t="str">
            <v>Live</v>
          </cell>
          <cell r="Z16" t="str">
            <v>Bilateral</v>
          </cell>
        </row>
        <row r="17">
          <cell r="F17" t="str">
            <v>INDRC</v>
          </cell>
          <cell r="G17"/>
          <cell r="H17">
            <v>404</v>
          </cell>
          <cell r="I17" t="str">
            <v>41</v>
          </cell>
          <cell r="J17" t="str">
            <v>x</v>
          </cell>
          <cell r="K17" t="str">
            <v>YES</v>
          </cell>
          <cell r="L17" t="str">
            <v>YES</v>
          </cell>
          <cell r="M17"/>
          <cell r="N17"/>
          <cell r="O17" t="str">
            <v>YES</v>
          </cell>
          <cell r="P17" t="str">
            <v>YES</v>
          </cell>
          <cell r="Q17" t="str">
            <v>YES</v>
          </cell>
          <cell r="R17" t="str">
            <v>YES</v>
          </cell>
          <cell r="S17"/>
          <cell r="T17"/>
          <cell r="U17"/>
          <cell r="V17"/>
          <cell r="W17"/>
          <cell r="X17"/>
          <cell r="Y17" t="str">
            <v>Live</v>
          </cell>
          <cell r="Z17" t="str">
            <v>Bilateral</v>
          </cell>
        </row>
        <row r="18">
          <cell r="F18" t="str">
            <v>INDAC</v>
          </cell>
          <cell r="G18"/>
          <cell r="H18">
            <v>404</v>
          </cell>
          <cell r="I18" t="str">
            <v>42</v>
          </cell>
          <cell r="J18" t="str">
            <v>x</v>
          </cell>
          <cell r="K18" t="str">
            <v>YES</v>
          </cell>
          <cell r="L18" t="str">
            <v>YES</v>
          </cell>
          <cell r="M18"/>
          <cell r="N18"/>
          <cell r="O18" t="str">
            <v>YES</v>
          </cell>
          <cell r="P18" t="str">
            <v>YES</v>
          </cell>
          <cell r="Q18" t="str">
            <v>YES</v>
          </cell>
          <cell r="R18" t="str">
            <v>YES</v>
          </cell>
          <cell r="S18"/>
          <cell r="T18"/>
          <cell r="U18"/>
          <cell r="V18"/>
          <cell r="W18"/>
          <cell r="X18"/>
          <cell r="Y18" t="str">
            <v>Live</v>
          </cell>
          <cell r="Z18" t="str">
            <v>Bilateral</v>
          </cell>
        </row>
        <row r="19">
          <cell r="F19" t="str">
            <v>IND23</v>
          </cell>
          <cell r="G19"/>
          <cell r="H19">
            <v>405</v>
          </cell>
          <cell r="I19" t="str">
            <v>801</v>
          </cell>
          <cell r="J19" t="str">
            <v>x</v>
          </cell>
          <cell r="K19" t="str">
            <v>YES</v>
          </cell>
          <cell r="L19" t="str">
            <v>YES</v>
          </cell>
          <cell r="M19"/>
          <cell r="N19"/>
          <cell r="O19" t="str">
            <v>YES</v>
          </cell>
          <cell r="P19" t="str">
            <v>YES</v>
          </cell>
          <cell r="Q19" t="str">
            <v>YES</v>
          </cell>
          <cell r="R19" t="str">
            <v>YES</v>
          </cell>
          <cell r="S19"/>
          <cell r="T19"/>
          <cell r="U19"/>
          <cell r="V19"/>
          <cell r="W19"/>
          <cell r="X19"/>
          <cell r="Y19" t="str">
            <v>Live</v>
          </cell>
          <cell r="Z19" t="str">
            <v>Bilateral</v>
          </cell>
        </row>
        <row r="20">
          <cell r="F20" t="str">
            <v>IND04</v>
          </cell>
          <cell r="G20"/>
          <cell r="H20">
            <v>404</v>
          </cell>
          <cell r="I20" t="str">
            <v>25</v>
          </cell>
          <cell r="J20" t="str">
            <v>x</v>
          </cell>
          <cell r="K20" t="str">
            <v>YES</v>
          </cell>
          <cell r="L20" t="str">
            <v>YES</v>
          </cell>
          <cell r="M20"/>
          <cell r="N20"/>
          <cell r="O20" t="str">
            <v>YES</v>
          </cell>
          <cell r="P20" t="str">
            <v>YES</v>
          </cell>
          <cell r="Q20" t="str">
            <v>YES</v>
          </cell>
          <cell r="R20" t="str">
            <v>YES</v>
          </cell>
          <cell r="S20"/>
          <cell r="T20"/>
          <cell r="U20"/>
          <cell r="V20"/>
          <cell r="W20"/>
          <cell r="X20"/>
          <cell r="Y20" t="str">
            <v>Live</v>
          </cell>
          <cell r="Z20" t="str">
            <v>Bilateral</v>
          </cell>
        </row>
        <row r="21">
          <cell r="F21" t="str">
            <v>IND19</v>
          </cell>
          <cell r="G21"/>
          <cell r="H21">
            <v>405</v>
          </cell>
          <cell r="I21" t="str">
            <v>800</v>
          </cell>
          <cell r="J21" t="str">
            <v>x</v>
          </cell>
          <cell r="K21" t="str">
            <v>YES</v>
          </cell>
          <cell r="L21" t="str">
            <v>YES</v>
          </cell>
          <cell r="M21"/>
          <cell r="N21"/>
          <cell r="O21" t="str">
            <v>YES</v>
          </cell>
          <cell r="P21" t="str">
            <v>YES</v>
          </cell>
          <cell r="Q21"/>
          <cell r="R21"/>
          <cell r="S21"/>
          <cell r="T21"/>
          <cell r="U21"/>
          <cell r="V21"/>
          <cell r="W21"/>
          <cell r="X21"/>
          <cell r="Y21" t="str">
            <v>Live</v>
          </cell>
          <cell r="Z21" t="str">
            <v>Bilateral</v>
          </cell>
        </row>
        <row r="22">
          <cell r="F22" t="str">
            <v>IND02</v>
          </cell>
          <cell r="G22"/>
          <cell r="H22">
            <v>404</v>
          </cell>
          <cell r="I22" t="str">
            <v>35</v>
          </cell>
          <cell r="J22" t="str">
            <v>x</v>
          </cell>
          <cell r="K22" t="str">
            <v>YES</v>
          </cell>
          <cell r="L22" t="str">
            <v>YES</v>
          </cell>
          <cell r="M22"/>
          <cell r="N22"/>
          <cell r="O22" t="str">
            <v>YES</v>
          </cell>
          <cell r="P22" t="str">
            <v>YES</v>
          </cell>
          <cell r="Q22"/>
          <cell r="R22"/>
          <cell r="S22"/>
          <cell r="T22"/>
          <cell r="U22"/>
          <cell r="V22"/>
          <cell r="W22"/>
          <cell r="X22"/>
          <cell r="Y22" t="str">
            <v>Live</v>
          </cell>
          <cell r="Z22" t="str">
            <v>Bilateral</v>
          </cell>
        </row>
        <row r="23">
          <cell r="F23" t="str">
            <v>IND22</v>
          </cell>
          <cell r="G23"/>
          <cell r="H23">
            <v>405</v>
          </cell>
          <cell r="I23" t="str">
            <v>803</v>
          </cell>
          <cell r="J23" t="str">
            <v>x</v>
          </cell>
          <cell r="K23" t="str">
            <v>YES</v>
          </cell>
          <cell r="L23" t="str">
            <v>YES</v>
          </cell>
          <cell r="M23"/>
          <cell r="N23"/>
          <cell r="O23" t="str">
            <v>YES</v>
          </cell>
          <cell r="P23" t="str">
            <v>YES</v>
          </cell>
          <cell r="Q23" t="str">
            <v>YES</v>
          </cell>
          <cell r="R23" t="str">
            <v>YES</v>
          </cell>
          <cell r="S23"/>
          <cell r="T23"/>
          <cell r="U23"/>
          <cell r="V23"/>
          <cell r="W23"/>
          <cell r="X23"/>
          <cell r="Y23" t="str">
            <v>Live</v>
          </cell>
          <cell r="Z23" t="str">
            <v>Bilateral</v>
          </cell>
        </row>
        <row r="24">
          <cell r="F24" t="str">
            <v>IND20</v>
          </cell>
          <cell r="G24"/>
          <cell r="H24">
            <v>405</v>
          </cell>
          <cell r="I24" t="str">
            <v>809</v>
          </cell>
          <cell r="J24" t="str">
            <v>x</v>
          </cell>
          <cell r="K24" t="str">
            <v>YES</v>
          </cell>
          <cell r="L24" t="str">
            <v>YES</v>
          </cell>
          <cell r="M24"/>
          <cell r="N24"/>
          <cell r="O24" t="str">
            <v>YES</v>
          </cell>
          <cell r="P24" t="str">
            <v>YES</v>
          </cell>
          <cell r="Q24" t="str">
            <v>YES</v>
          </cell>
          <cell r="R24" t="str">
            <v>YES</v>
          </cell>
          <cell r="S24"/>
          <cell r="T24"/>
          <cell r="U24"/>
          <cell r="V24"/>
          <cell r="W24"/>
          <cell r="X24"/>
          <cell r="Y24" t="str">
            <v>Live</v>
          </cell>
          <cell r="Z24" t="str">
            <v>Bilateral</v>
          </cell>
        </row>
        <row r="25">
          <cell r="F25" t="str">
            <v>IND09</v>
          </cell>
          <cell r="G25"/>
          <cell r="H25">
            <v>404</v>
          </cell>
          <cell r="I25" t="str">
            <v>91</v>
          </cell>
          <cell r="J25" t="str">
            <v>x</v>
          </cell>
          <cell r="K25" t="str">
            <v>YES</v>
          </cell>
          <cell r="L25" t="str">
            <v>YES</v>
          </cell>
          <cell r="M25"/>
          <cell r="N25"/>
          <cell r="O25" t="str">
            <v>YES</v>
          </cell>
          <cell r="P25" t="str">
            <v>YES</v>
          </cell>
          <cell r="Q25" t="str">
            <v>YES</v>
          </cell>
          <cell r="R25" t="str">
            <v>YES</v>
          </cell>
          <cell r="S25"/>
          <cell r="T25"/>
          <cell r="U25"/>
          <cell r="V25"/>
          <cell r="W25"/>
          <cell r="X25"/>
          <cell r="Y25" t="str">
            <v>Live</v>
          </cell>
          <cell r="Z25" t="str">
            <v>Bilateral</v>
          </cell>
        </row>
        <row r="26">
          <cell r="F26" t="str">
            <v>IND24</v>
          </cell>
          <cell r="G26"/>
          <cell r="H26">
            <v>405</v>
          </cell>
          <cell r="I26" t="str">
            <v>804</v>
          </cell>
          <cell r="J26" t="str">
            <v>x</v>
          </cell>
          <cell r="K26" t="str">
            <v>YES</v>
          </cell>
          <cell r="L26" t="str">
            <v>YES</v>
          </cell>
          <cell r="M26"/>
          <cell r="N26"/>
          <cell r="O26" t="str">
            <v>YES</v>
          </cell>
          <cell r="P26" t="str">
            <v>YES</v>
          </cell>
          <cell r="Q26"/>
          <cell r="R26"/>
          <cell r="S26"/>
          <cell r="T26"/>
          <cell r="U26"/>
          <cell r="V26"/>
          <cell r="W26"/>
          <cell r="X26"/>
          <cell r="Y26" t="str">
            <v>Live</v>
          </cell>
          <cell r="Z26" t="str">
            <v>Bilateral</v>
          </cell>
        </row>
        <row r="27">
          <cell r="F27" t="str">
            <v>IND21</v>
          </cell>
          <cell r="G27"/>
          <cell r="H27">
            <v>405</v>
          </cell>
          <cell r="I27" t="str">
            <v>805</v>
          </cell>
          <cell r="J27" t="str">
            <v>x</v>
          </cell>
          <cell r="K27" t="str">
            <v>YES</v>
          </cell>
          <cell r="L27" t="str">
            <v>YES</v>
          </cell>
          <cell r="M27"/>
          <cell r="N27"/>
          <cell r="O27" t="str">
            <v>YES</v>
          </cell>
          <cell r="P27" t="str">
            <v>YES</v>
          </cell>
          <cell r="Q27"/>
          <cell r="R27"/>
          <cell r="S27"/>
          <cell r="T27"/>
          <cell r="U27"/>
          <cell r="V27"/>
          <cell r="W27"/>
          <cell r="X27"/>
          <cell r="Y27" t="str">
            <v>Live</v>
          </cell>
          <cell r="Z27" t="str">
            <v>Bilateral</v>
          </cell>
        </row>
        <row r="28">
          <cell r="F28" t="str">
            <v>IND05</v>
          </cell>
          <cell r="G28"/>
          <cell r="H28">
            <v>404</v>
          </cell>
          <cell r="I28" t="str">
            <v>28</v>
          </cell>
          <cell r="J28" t="str">
            <v>x</v>
          </cell>
          <cell r="K28" t="str">
            <v>YES</v>
          </cell>
          <cell r="L28" t="str">
            <v>YES</v>
          </cell>
          <cell r="M28"/>
          <cell r="N28"/>
          <cell r="O28" t="str">
            <v>YES</v>
          </cell>
          <cell r="P28" t="str">
            <v>YES</v>
          </cell>
          <cell r="Q28" t="str">
            <v>YES</v>
          </cell>
          <cell r="R28" t="str">
            <v>YES</v>
          </cell>
          <cell r="S28"/>
          <cell r="T28"/>
          <cell r="U28"/>
          <cell r="V28"/>
          <cell r="W28"/>
          <cell r="X28"/>
          <cell r="Y28" t="str">
            <v>Live</v>
          </cell>
          <cell r="Z28" t="str">
            <v>Bilateral</v>
          </cell>
        </row>
        <row r="29">
          <cell r="F29" t="str">
            <v>IND17</v>
          </cell>
          <cell r="G29"/>
          <cell r="H29">
            <v>405</v>
          </cell>
          <cell r="I29" t="str">
            <v>810</v>
          </cell>
          <cell r="J29" t="str">
            <v>x</v>
          </cell>
          <cell r="K29" t="str">
            <v>YES</v>
          </cell>
          <cell r="L29" t="str">
            <v>YES</v>
          </cell>
          <cell r="M29"/>
          <cell r="N29"/>
          <cell r="O29" t="str">
            <v>YES</v>
          </cell>
          <cell r="P29" t="str">
            <v>YES</v>
          </cell>
          <cell r="Q29" t="str">
            <v>YES</v>
          </cell>
          <cell r="R29" t="str">
            <v>YES</v>
          </cell>
          <cell r="S29"/>
          <cell r="T29"/>
          <cell r="U29"/>
          <cell r="V29"/>
          <cell r="W29"/>
          <cell r="X29"/>
          <cell r="Y29" t="str">
            <v>Live</v>
          </cell>
          <cell r="Z29" t="str">
            <v>Bilateral</v>
          </cell>
        </row>
        <row r="30">
          <cell r="F30" t="str">
            <v>IND18</v>
          </cell>
          <cell r="G30"/>
          <cell r="H30">
            <v>405</v>
          </cell>
          <cell r="I30" t="str">
            <v>811</v>
          </cell>
          <cell r="J30" t="str">
            <v>x</v>
          </cell>
          <cell r="K30" t="str">
            <v>YES</v>
          </cell>
          <cell r="L30" t="str">
            <v>YES</v>
          </cell>
          <cell r="M30"/>
          <cell r="N30"/>
          <cell r="O30" t="str">
            <v>YES</v>
          </cell>
          <cell r="P30" t="str">
            <v>YES</v>
          </cell>
          <cell r="Q30"/>
          <cell r="R30"/>
          <cell r="S30"/>
          <cell r="T30"/>
          <cell r="U30"/>
          <cell r="V30"/>
          <cell r="W30"/>
          <cell r="X30"/>
          <cell r="Y30" t="str">
            <v>Live</v>
          </cell>
          <cell r="Z30" t="str">
            <v>Bilateral</v>
          </cell>
        </row>
        <row r="31">
          <cell r="F31" t="str">
            <v>IND03</v>
          </cell>
          <cell r="G31"/>
          <cell r="H31">
            <v>404</v>
          </cell>
          <cell r="I31" t="str">
            <v>17</v>
          </cell>
          <cell r="J31" t="str">
            <v>x</v>
          </cell>
          <cell r="K31" t="str">
            <v>YES</v>
          </cell>
          <cell r="L31" t="str">
            <v>YES</v>
          </cell>
          <cell r="M31"/>
          <cell r="N31"/>
          <cell r="O31" t="str">
            <v>YES</v>
          </cell>
          <cell r="P31" t="str">
            <v>YES</v>
          </cell>
          <cell r="Q31" t="str">
            <v>YES</v>
          </cell>
          <cell r="R31" t="str">
            <v>YES</v>
          </cell>
          <cell r="S31"/>
          <cell r="T31"/>
          <cell r="U31"/>
          <cell r="V31"/>
          <cell r="W31"/>
          <cell r="X31"/>
          <cell r="Y31" t="str">
            <v>Live</v>
          </cell>
          <cell r="Z31" t="str">
            <v>Bilateral</v>
          </cell>
        </row>
        <row r="32">
          <cell r="F32" t="str">
            <v>IND28</v>
          </cell>
          <cell r="G32"/>
          <cell r="H32">
            <v>405</v>
          </cell>
          <cell r="I32" t="str">
            <v>802</v>
          </cell>
          <cell r="J32" t="str">
            <v>x</v>
          </cell>
          <cell r="K32" t="str">
            <v>YES</v>
          </cell>
          <cell r="L32" t="str">
            <v>YES</v>
          </cell>
          <cell r="M32"/>
          <cell r="N32"/>
          <cell r="O32" t="str">
            <v>YES</v>
          </cell>
          <cell r="P32" t="str">
            <v>YES</v>
          </cell>
          <cell r="Q32"/>
          <cell r="R32"/>
          <cell r="S32"/>
          <cell r="T32"/>
          <cell r="U32"/>
          <cell r="V32"/>
          <cell r="W32"/>
          <cell r="X32"/>
          <cell r="Y32" t="str">
            <v>Live</v>
          </cell>
          <cell r="Z32" t="str">
            <v>Bilateral</v>
          </cell>
        </row>
        <row r="33">
          <cell r="F33" t="str">
            <v>IND29</v>
          </cell>
          <cell r="G33"/>
          <cell r="H33">
            <v>405</v>
          </cell>
          <cell r="I33" t="str">
            <v>807</v>
          </cell>
          <cell r="J33" t="str">
            <v>x</v>
          </cell>
          <cell r="K33" t="str">
            <v>YES</v>
          </cell>
          <cell r="L33" t="str">
            <v>YES</v>
          </cell>
          <cell r="M33"/>
          <cell r="N33"/>
          <cell r="O33" t="str">
            <v>YES</v>
          </cell>
          <cell r="P33" t="str">
            <v>YES</v>
          </cell>
          <cell r="Q33"/>
          <cell r="R33"/>
          <cell r="S33"/>
          <cell r="T33"/>
          <cell r="U33"/>
          <cell r="V33"/>
          <cell r="W33"/>
          <cell r="X33"/>
          <cell r="Y33" t="str">
            <v>Live</v>
          </cell>
          <cell r="Z33" t="str">
            <v>Bilateral</v>
          </cell>
        </row>
        <row r="34">
          <cell r="F34" t="str">
            <v>IND27</v>
          </cell>
          <cell r="G34"/>
          <cell r="H34">
            <v>405</v>
          </cell>
          <cell r="I34" t="str">
            <v>808</v>
          </cell>
          <cell r="J34" t="str">
            <v>x</v>
          </cell>
          <cell r="K34" t="str">
            <v>YES</v>
          </cell>
          <cell r="L34" t="str">
            <v>YES</v>
          </cell>
          <cell r="M34"/>
          <cell r="N34"/>
          <cell r="O34" t="str">
            <v>YES</v>
          </cell>
          <cell r="P34" t="str">
            <v>YES</v>
          </cell>
          <cell r="Q34"/>
          <cell r="R34"/>
          <cell r="S34"/>
          <cell r="T34"/>
          <cell r="U34"/>
          <cell r="V34"/>
          <cell r="W34"/>
          <cell r="X34"/>
          <cell r="Y34" t="str">
            <v>Live</v>
          </cell>
          <cell r="Z34" t="str">
            <v>Bilateral</v>
          </cell>
        </row>
        <row r="35">
          <cell r="F35" t="str">
            <v>IND25</v>
          </cell>
          <cell r="G35"/>
          <cell r="H35">
            <v>405</v>
          </cell>
          <cell r="I35" t="str">
            <v>812</v>
          </cell>
          <cell r="J35" t="str">
            <v>x</v>
          </cell>
          <cell r="K35" t="str">
            <v>YES</v>
          </cell>
          <cell r="L35" t="str">
            <v>YES</v>
          </cell>
          <cell r="M35"/>
          <cell r="N35"/>
          <cell r="O35" t="str">
            <v>YES</v>
          </cell>
          <cell r="P35" t="str">
            <v>YES</v>
          </cell>
          <cell r="Q35" t="str">
            <v>YES</v>
          </cell>
          <cell r="R35" t="str">
            <v>YES</v>
          </cell>
          <cell r="S35"/>
          <cell r="T35"/>
          <cell r="U35"/>
          <cell r="V35"/>
          <cell r="W35"/>
          <cell r="X35"/>
          <cell r="Y35" t="str">
            <v>Live</v>
          </cell>
          <cell r="Z35" t="str">
            <v>Bilateral</v>
          </cell>
        </row>
        <row r="36">
          <cell r="F36" t="str">
            <v>IND26</v>
          </cell>
          <cell r="G36"/>
          <cell r="H36">
            <v>405</v>
          </cell>
          <cell r="I36" t="str">
            <v>806</v>
          </cell>
          <cell r="J36" t="str">
            <v>x</v>
          </cell>
          <cell r="K36" t="str">
            <v>YES</v>
          </cell>
          <cell r="L36" t="str">
            <v>YES</v>
          </cell>
          <cell r="M36"/>
          <cell r="N36"/>
          <cell r="O36" t="str">
            <v>YES</v>
          </cell>
          <cell r="P36" t="str">
            <v>YES</v>
          </cell>
          <cell r="Q36"/>
          <cell r="R36"/>
          <cell r="S36"/>
          <cell r="T36"/>
          <cell r="U36"/>
          <cell r="V36"/>
          <cell r="W36"/>
          <cell r="X36"/>
          <cell r="Y36" t="str">
            <v>Live</v>
          </cell>
          <cell r="Z36" t="str">
            <v>Bilateral</v>
          </cell>
        </row>
        <row r="37">
          <cell r="F37" t="str">
            <v>IND06</v>
          </cell>
          <cell r="G37"/>
          <cell r="H37">
            <v>404</v>
          </cell>
          <cell r="I37" t="str">
            <v>29</v>
          </cell>
          <cell r="J37" t="str">
            <v>x</v>
          </cell>
          <cell r="K37" t="str">
            <v>YES</v>
          </cell>
          <cell r="L37" t="str">
            <v>N.A</v>
          </cell>
          <cell r="M37"/>
          <cell r="N37"/>
          <cell r="O37" t="str">
            <v>YES</v>
          </cell>
          <cell r="P37" t="str">
            <v>N.A</v>
          </cell>
          <cell r="Q37" t="str">
            <v>YES</v>
          </cell>
          <cell r="R37" t="str">
            <v>N.A</v>
          </cell>
          <cell r="S37"/>
          <cell r="T37"/>
          <cell r="U37"/>
          <cell r="V37"/>
          <cell r="W37"/>
          <cell r="X37"/>
          <cell r="Y37" t="str">
            <v>Live</v>
          </cell>
          <cell r="Z37" t="str">
            <v>Bilateral</v>
          </cell>
        </row>
        <row r="38">
          <cell r="F38" t="str">
            <v>IND01</v>
          </cell>
          <cell r="G38"/>
          <cell r="H38">
            <v>404</v>
          </cell>
          <cell r="I38" t="str">
            <v>37</v>
          </cell>
          <cell r="J38" t="str">
            <v>x</v>
          </cell>
          <cell r="K38" t="str">
            <v>YES</v>
          </cell>
          <cell r="L38" t="str">
            <v>N.A</v>
          </cell>
          <cell r="M38"/>
          <cell r="N38"/>
          <cell r="O38" t="str">
            <v>YES</v>
          </cell>
          <cell r="P38" t="str">
            <v>N.A</v>
          </cell>
          <cell r="Q38" t="str">
            <v>YES</v>
          </cell>
          <cell r="R38" t="str">
            <v>N.A</v>
          </cell>
          <cell r="S38"/>
          <cell r="T38"/>
          <cell r="U38"/>
          <cell r="V38"/>
          <cell r="W38"/>
          <cell r="X38"/>
          <cell r="Y38" t="str">
            <v>Live</v>
          </cell>
          <cell r="Z38" t="str">
            <v>Bilateral</v>
          </cell>
        </row>
        <row r="39">
          <cell r="F39" t="str">
            <v>IND08</v>
          </cell>
          <cell r="G39"/>
          <cell r="H39">
            <v>404</v>
          </cell>
          <cell r="I39" t="str">
            <v>33</v>
          </cell>
          <cell r="J39" t="str">
            <v>x</v>
          </cell>
          <cell r="K39" t="str">
            <v>YES</v>
          </cell>
          <cell r="L39" t="str">
            <v>N.A</v>
          </cell>
          <cell r="M39"/>
          <cell r="N39"/>
          <cell r="O39" t="str">
            <v>YES</v>
          </cell>
          <cell r="P39" t="str">
            <v>N.A</v>
          </cell>
          <cell r="Q39" t="str">
            <v>YES</v>
          </cell>
          <cell r="R39" t="str">
            <v>N.A</v>
          </cell>
          <cell r="S39"/>
          <cell r="T39"/>
          <cell r="U39"/>
          <cell r="V39"/>
          <cell r="W39"/>
          <cell r="X39"/>
          <cell r="Y39" t="str">
            <v>Live</v>
          </cell>
          <cell r="Z39" t="str">
            <v>Bilateral</v>
          </cell>
        </row>
        <row r="40">
          <cell r="F40" t="str">
            <v>GHAMT</v>
          </cell>
          <cell r="G40"/>
          <cell r="H40" t="str">
            <v>620</v>
          </cell>
          <cell r="I40" t="str">
            <v>03</v>
          </cell>
          <cell r="J40" t="str">
            <v>x</v>
          </cell>
          <cell r="K40" t="str">
            <v>YES</v>
          </cell>
          <cell r="L40" t="str">
            <v>YES</v>
          </cell>
          <cell r="M40" t="str">
            <v>YES</v>
          </cell>
          <cell r="N40" t="str">
            <v>YES</v>
          </cell>
          <cell r="O40" t="str">
            <v>YES</v>
          </cell>
          <cell r="P40" t="str">
            <v>YES</v>
          </cell>
          <cell r="Q40" t="str">
            <v>YES</v>
          </cell>
          <cell r="R40" t="str">
            <v>YES</v>
          </cell>
          <cell r="S40" t="str">
            <v>N.A</v>
          </cell>
          <cell r="T40" t="str">
            <v>Planned</v>
          </cell>
          <cell r="U40"/>
          <cell r="V40"/>
          <cell r="W40"/>
          <cell r="X40"/>
          <cell r="Y40" t="str">
            <v>Live</v>
          </cell>
          <cell r="Z40" t="str">
            <v>Bilateral</v>
          </cell>
        </row>
        <row r="41">
          <cell r="F41" t="str">
            <v>COGCT</v>
          </cell>
          <cell r="G41"/>
          <cell r="H41" t="str">
            <v>629</v>
          </cell>
          <cell r="I41" t="str">
            <v>01</v>
          </cell>
          <cell r="J41" t="str">
            <v>x</v>
          </cell>
          <cell r="K41" t="str">
            <v>YES</v>
          </cell>
          <cell r="L41" t="str">
            <v>YES</v>
          </cell>
          <cell r="M41" t="str">
            <v>YES</v>
          </cell>
          <cell r="N41"/>
          <cell r="O41" t="str">
            <v>YES</v>
          </cell>
          <cell r="P41" t="str">
            <v>YES</v>
          </cell>
          <cell r="Q41" t="str">
            <v>YES</v>
          </cell>
          <cell r="R41" t="str">
            <v>YES</v>
          </cell>
          <cell r="S41"/>
          <cell r="T41"/>
          <cell r="U41"/>
          <cell r="V41"/>
          <cell r="W41"/>
          <cell r="X41"/>
          <cell r="Y41" t="str">
            <v>Live</v>
          </cell>
          <cell r="Z41" t="str">
            <v>Bilateral</v>
          </cell>
        </row>
        <row r="42">
          <cell r="F42" t="str">
            <v>GHAZN</v>
          </cell>
          <cell r="G42"/>
          <cell r="H42" t="str">
            <v>620</v>
          </cell>
          <cell r="I42" t="str">
            <v>06</v>
          </cell>
          <cell r="J42" t="str">
            <v>x</v>
          </cell>
          <cell r="K42" t="str">
            <v>YES</v>
          </cell>
          <cell r="L42" t="str">
            <v>N.A</v>
          </cell>
          <cell r="M42" t="str">
            <v>YES</v>
          </cell>
          <cell r="N42" t="str">
            <v>N.A</v>
          </cell>
          <cell r="O42" t="str">
            <v>YES</v>
          </cell>
          <cell r="P42" t="str">
            <v>N.A</v>
          </cell>
          <cell r="Q42" t="str">
            <v>YES</v>
          </cell>
          <cell r="R42" t="str">
            <v>N.A</v>
          </cell>
          <cell r="S42" t="str">
            <v>N.A</v>
          </cell>
          <cell r="T42" t="str">
            <v>N.A</v>
          </cell>
          <cell r="U42"/>
          <cell r="V42"/>
          <cell r="W42"/>
          <cell r="X42"/>
          <cell r="Y42" t="str">
            <v>Live</v>
          </cell>
          <cell r="Z42" t="str">
            <v>Bilateral</v>
          </cell>
        </row>
        <row r="43">
          <cell r="F43" t="str">
            <v>NGAET</v>
          </cell>
          <cell r="G43"/>
          <cell r="H43" t="str">
            <v>621</v>
          </cell>
          <cell r="I43" t="str">
            <v>20</v>
          </cell>
          <cell r="J43" t="str">
            <v>x</v>
          </cell>
          <cell r="K43" t="str">
            <v>YES</v>
          </cell>
          <cell r="L43" t="str">
            <v>YES</v>
          </cell>
          <cell r="M43" t="str">
            <v>YES</v>
          </cell>
          <cell r="N43" t="str">
            <v>YES</v>
          </cell>
          <cell r="O43" t="str">
            <v>YES</v>
          </cell>
          <cell r="P43" t="str">
            <v>YES</v>
          </cell>
          <cell r="Q43" t="str">
            <v>YES</v>
          </cell>
          <cell r="R43" t="str">
            <v>YES</v>
          </cell>
          <cell r="S43" t="str">
            <v>YES</v>
          </cell>
          <cell r="T43" t="str">
            <v>YES</v>
          </cell>
          <cell r="U43"/>
          <cell r="V43"/>
          <cell r="W43"/>
          <cell r="X43"/>
          <cell r="Y43" t="str">
            <v>Live</v>
          </cell>
          <cell r="Z43" t="str">
            <v>Bilateral</v>
          </cell>
        </row>
        <row r="44">
          <cell r="F44" t="str">
            <v>RWATG</v>
          </cell>
          <cell r="G44"/>
          <cell r="H44" t="str">
            <v>635</v>
          </cell>
          <cell r="I44" t="str">
            <v>13</v>
          </cell>
          <cell r="J44" t="str">
            <v>x</v>
          </cell>
          <cell r="K44" t="str">
            <v>YES</v>
          </cell>
          <cell r="L44" t="str">
            <v>YES</v>
          </cell>
          <cell r="M44" t="str">
            <v>YES</v>
          </cell>
          <cell r="N44" t="str">
            <v>YES</v>
          </cell>
          <cell r="O44" t="str">
            <v>YES</v>
          </cell>
          <cell r="P44" t="str">
            <v>YES</v>
          </cell>
          <cell r="Q44" t="str">
            <v>YES</v>
          </cell>
          <cell r="R44" t="str">
            <v>YES</v>
          </cell>
          <cell r="S44"/>
          <cell r="T44"/>
          <cell r="U44"/>
          <cell r="V44"/>
          <cell r="W44"/>
          <cell r="X44"/>
          <cell r="Y44" t="str">
            <v>Live</v>
          </cell>
          <cell r="Z44" t="str">
            <v>Bilateral</v>
          </cell>
        </row>
        <row r="45">
          <cell r="F45" t="str">
            <v>RWAAR</v>
          </cell>
          <cell r="G45"/>
          <cell r="H45" t="str">
            <v>635</v>
          </cell>
          <cell r="I45" t="str">
            <v>14</v>
          </cell>
          <cell r="J45" t="str">
            <v>x</v>
          </cell>
          <cell r="K45" t="str">
            <v>YES</v>
          </cell>
          <cell r="L45" t="str">
            <v>YES</v>
          </cell>
          <cell r="M45" t="str">
            <v>YES</v>
          </cell>
          <cell r="N45"/>
          <cell r="O45" t="str">
            <v>YES</v>
          </cell>
          <cell r="P45" t="str">
            <v>YES</v>
          </cell>
          <cell r="Q45" t="str">
            <v>YES</v>
          </cell>
          <cell r="R45" t="str">
            <v>YES</v>
          </cell>
          <cell r="S45"/>
          <cell r="T45"/>
          <cell r="U45"/>
          <cell r="V45"/>
          <cell r="W45"/>
          <cell r="X45"/>
          <cell r="Y45" t="str">
            <v>Live</v>
          </cell>
          <cell r="Z45" t="str">
            <v>Bilateral</v>
          </cell>
        </row>
        <row r="46">
          <cell r="F46" t="str">
            <v>SLECT</v>
          </cell>
          <cell r="G46" t="str">
            <v>SLEOR</v>
          </cell>
          <cell r="H46" t="str">
            <v>619</v>
          </cell>
          <cell r="I46" t="str">
            <v>01</v>
          </cell>
          <cell r="J46"/>
          <cell r="K46" t="str">
            <v>YES</v>
          </cell>
          <cell r="L46" t="str">
            <v>YES</v>
          </cell>
          <cell r="M46" t="str">
            <v>Planned</v>
          </cell>
          <cell r="N46" t="str">
            <v>Planned</v>
          </cell>
          <cell r="O46" t="str">
            <v>YES</v>
          </cell>
          <cell r="P46" t="str">
            <v>YES</v>
          </cell>
          <cell r="Q46" t="str">
            <v>YES</v>
          </cell>
          <cell r="R46" t="str">
            <v>YES</v>
          </cell>
          <cell r="S46" t="str">
            <v>YES</v>
          </cell>
          <cell r="T46" t="str">
            <v>N.A</v>
          </cell>
          <cell r="U46"/>
          <cell r="V46"/>
          <cell r="W46"/>
          <cell r="X46"/>
          <cell r="Y46" t="str">
            <v>Live</v>
          </cell>
          <cell r="Z46" t="str">
            <v>Orange Hub</v>
          </cell>
        </row>
        <row r="47">
          <cell r="F47" t="str">
            <v>TCDCT</v>
          </cell>
          <cell r="G47" t="str">
            <v>TCDK8</v>
          </cell>
          <cell r="H47" t="str">
            <v>622</v>
          </cell>
          <cell r="I47" t="str">
            <v>01</v>
          </cell>
          <cell r="J47" t="str">
            <v>x</v>
          </cell>
          <cell r="K47" t="str">
            <v>YES</v>
          </cell>
          <cell r="L47" t="str">
            <v>YES</v>
          </cell>
          <cell r="M47"/>
          <cell r="N47" t="str">
            <v>YES</v>
          </cell>
          <cell r="O47" t="str">
            <v>YES</v>
          </cell>
          <cell r="P47" t="str">
            <v>YES</v>
          </cell>
          <cell r="Q47" t="str">
            <v>YES</v>
          </cell>
          <cell r="R47" t="str">
            <v>YES</v>
          </cell>
          <cell r="S47"/>
          <cell r="T47" t="str">
            <v>YES</v>
          </cell>
          <cell r="U47"/>
          <cell r="V47"/>
          <cell r="W47"/>
          <cell r="X47"/>
          <cell r="Y47" t="str">
            <v>Live</v>
          </cell>
          <cell r="Z47" t="str">
            <v>Comfone</v>
          </cell>
        </row>
        <row r="48">
          <cell r="F48" t="str">
            <v>SYCAT</v>
          </cell>
          <cell r="G48"/>
          <cell r="H48" t="str">
            <v>633</v>
          </cell>
          <cell r="I48" t="str">
            <v>10</v>
          </cell>
          <cell r="J48" t="str">
            <v>x</v>
          </cell>
          <cell r="K48" t="str">
            <v>YES</v>
          </cell>
          <cell r="L48" t="str">
            <v>YES</v>
          </cell>
          <cell r="M48" t="str">
            <v>N.A</v>
          </cell>
          <cell r="N48" t="str">
            <v>YES</v>
          </cell>
          <cell r="O48" t="str">
            <v>YES</v>
          </cell>
          <cell r="P48" t="str">
            <v>YES</v>
          </cell>
          <cell r="Q48" t="str">
            <v>YES</v>
          </cell>
          <cell r="R48" t="str">
            <v>YES</v>
          </cell>
          <cell r="S48" t="str">
            <v>YES</v>
          </cell>
          <cell r="T48" t="str">
            <v>YES</v>
          </cell>
          <cell r="U48"/>
          <cell r="V48"/>
          <cell r="W48"/>
          <cell r="X48"/>
          <cell r="Y48" t="str">
            <v>Live</v>
          </cell>
          <cell r="Z48" t="str">
            <v>Bilateral</v>
          </cell>
        </row>
        <row r="49">
          <cell r="F49" t="str">
            <v>ZMBCE</v>
          </cell>
          <cell r="G49"/>
          <cell r="H49" t="str">
            <v>645</v>
          </cell>
          <cell r="I49" t="str">
            <v>01</v>
          </cell>
          <cell r="J49"/>
          <cell r="K49" t="str">
            <v>YES</v>
          </cell>
          <cell r="L49" t="str">
            <v>YES</v>
          </cell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 t="str">
            <v>Live</v>
          </cell>
          <cell r="Z49" t="str">
            <v>Bilateral</v>
          </cell>
        </row>
        <row r="50">
          <cell r="F50" t="str">
            <v>LBY01</v>
          </cell>
          <cell r="G50"/>
          <cell r="H50" t="str">
            <v>606</v>
          </cell>
          <cell r="I50" t="str">
            <v>01</v>
          </cell>
          <cell r="J50" t="str">
            <v>x</v>
          </cell>
          <cell r="K50" t="str">
            <v>YES</v>
          </cell>
          <cell r="L50" t="str">
            <v>YES</v>
          </cell>
          <cell r="M50" t="str">
            <v>YES</v>
          </cell>
          <cell r="N50" t="str">
            <v>YES</v>
          </cell>
          <cell r="O50" t="str">
            <v>YES</v>
          </cell>
          <cell r="P50" t="str">
            <v>YES</v>
          </cell>
          <cell r="Q50" t="str">
            <v>YES</v>
          </cell>
          <cell r="R50" t="str">
            <v>YES</v>
          </cell>
          <cell r="S50" t="str">
            <v>YES</v>
          </cell>
          <cell r="T50" t="str">
            <v>YES</v>
          </cell>
          <cell r="U50"/>
          <cell r="V50"/>
          <cell r="W50"/>
          <cell r="X50"/>
          <cell r="Y50" t="str">
            <v>Live</v>
          </cell>
          <cell r="Z50" t="str">
            <v>Bilateral</v>
          </cell>
        </row>
        <row r="51">
          <cell r="F51" t="str">
            <v>FINAM</v>
          </cell>
          <cell r="G51"/>
          <cell r="H51" t="str">
            <v>244</v>
          </cell>
          <cell r="I51" t="str">
            <v>14</v>
          </cell>
          <cell r="J51" t="str">
            <v>x</v>
          </cell>
          <cell r="K51" t="str">
            <v>YES</v>
          </cell>
          <cell r="L51" t="str">
            <v>YES</v>
          </cell>
          <cell r="M51"/>
          <cell r="N51"/>
          <cell r="O51" t="str">
            <v>YES</v>
          </cell>
          <cell r="P51" t="str">
            <v>YES</v>
          </cell>
          <cell r="Q51" t="str">
            <v>YES</v>
          </cell>
          <cell r="R51" t="str">
            <v>YES</v>
          </cell>
          <cell r="S51" t="str">
            <v>YES</v>
          </cell>
          <cell r="T51" t="str">
            <v>YES</v>
          </cell>
          <cell r="U51"/>
          <cell r="V51"/>
          <cell r="W51"/>
          <cell r="X51"/>
          <cell r="Y51" t="str">
            <v>Live</v>
          </cell>
          <cell r="Z51" t="str">
            <v>Bilateral</v>
          </cell>
        </row>
        <row r="52">
          <cell r="F52" t="str">
            <v>ALBEM</v>
          </cell>
          <cell r="G52"/>
          <cell r="H52" t="str">
            <v>276</v>
          </cell>
          <cell r="I52" t="str">
            <v>03</v>
          </cell>
          <cell r="J52" t="str">
            <v>x</v>
          </cell>
          <cell r="K52" t="str">
            <v>YES</v>
          </cell>
          <cell r="L52" t="str">
            <v>YES</v>
          </cell>
          <cell r="M52" t="str">
            <v>YES</v>
          </cell>
          <cell r="N52" t="str">
            <v>YES</v>
          </cell>
          <cell r="O52" t="str">
            <v>YES</v>
          </cell>
          <cell r="P52" t="str">
            <v>YES</v>
          </cell>
          <cell r="Q52" t="str">
            <v>YES</v>
          </cell>
          <cell r="R52" t="str">
            <v>YES</v>
          </cell>
          <cell r="S52" t="str">
            <v>YES</v>
          </cell>
          <cell r="T52" t="str">
            <v>YES</v>
          </cell>
          <cell r="U52"/>
          <cell r="V52"/>
          <cell r="W52"/>
          <cell r="X52"/>
          <cell r="Y52" t="str">
            <v>Live</v>
          </cell>
          <cell r="Z52" t="str">
            <v>Bilateral</v>
          </cell>
        </row>
        <row r="53">
          <cell r="F53" t="str">
            <v>LBNFL</v>
          </cell>
          <cell r="G53"/>
          <cell r="H53" t="str">
            <v>415</v>
          </cell>
          <cell r="I53" t="str">
            <v>01</v>
          </cell>
          <cell r="J53" t="str">
            <v>x</v>
          </cell>
          <cell r="K53" t="str">
            <v>YES</v>
          </cell>
          <cell r="L53" t="str">
            <v>YES</v>
          </cell>
          <cell r="M53" t="str">
            <v>YES</v>
          </cell>
          <cell r="N53" t="str">
            <v>YES</v>
          </cell>
          <cell r="O53" t="str">
            <v>YES</v>
          </cell>
          <cell r="P53" t="str">
            <v>YES</v>
          </cell>
          <cell r="Q53" t="str">
            <v>YES</v>
          </cell>
          <cell r="R53" t="str">
            <v>YES</v>
          </cell>
          <cell r="S53" t="str">
            <v>YES</v>
          </cell>
          <cell r="T53" t="str">
            <v>YES</v>
          </cell>
          <cell r="U53"/>
          <cell r="V53"/>
          <cell r="W53"/>
          <cell r="X53"/>
          <cell r="Y53" t="str">
            <v>Live</v>
          </cell>
          <cell r="Z53" t="str">
            <v>Bilateral</v>
          </cell>
        </row>
        <row r="54">
          <cell r="F54" t="str">
            <v>MEXAL</v>
          </cell>
          <cell r="G54" t="str">
            <v>MEXK7</v>
          </cell>
          <cell r="H54">
            <v>334</v>
          </cell>
          <cell r="I54" t="str">
            <v>140</v>
          </cell>
          <cell r="J54" t="str">
            <v>x</v>
          </cell>
          <cell r="K54" t="str">
            <v>YES</v>
          </cell>
          <cell r="L54"/>
          <cell r="M54" t="str">
            <v>YES</v>
          </cell>
          <cell r="N54"/>
          <cell r="O54" t="str">
            <v>YES</v>
          </cell>
          <cell r="P54"/>
          <cell r="Q54" t="str">
            <v>YES</v>
          </cell>
          <cell r="R54"/>
          <cell r="S54" t="str">
            <v>YES</v>
          </cell>
          <cell r="T54"/>
          <cell r="U54"/>
          <cell r="V54"/>
          <cell r="W54"/>
          <cell r="X54"/>
          <cell r="Y54" t="str">
            <v>Live</v>
          </cell>
          <cell r="Z54" t="str">
            <v>Comfone</v>
          </cell>
        </row>
        <row r="55">
          <cell r="F55" t="str">
            <v>KAZAL</v>
          </cell>
          <cell r="G55" t="str">
            <v>KAZK7</v>
          </cell>
          <cell r="H55">
            <v>401</v>
          </cell>
          <cell r="I55" t="str">
            <v>07</v>
          </cell>
          <cell r="J55" t="str">
            <v>x</v>
          </cell>
          <cell r="K55" t="str">
            <v>YES</v>
          </cell>
          <cell r="L55" t="str">
            <v>YES</v>
          </cell>
          <cell r="M55"/>
          <cell r="N55"/>
          <cell r="O55" t="str">
            <v>YES</v>
          </cell>
          <cell r="P55" t="str">
            <v>YES</v>
          </cell>
          <cell r="Q55" t="str">
            <v>YES</v>
          </cell>
          <cell r="R55" t="str">
            <v>YES</v>
          </cell>
          <cell r="S55"/>
          <cell r="T55"/>
          <cell r="U55"/>
          <cell r="V55"/>
          <cell r="W55"/>
          <cell r="X55"/>
          <cell r="Y55" t="str">
            <v>Live</v>
          </cell>
          <cell r="Z55" t="str">
            <v>Comfone</v>
          </cell>
        </row>
        <row r="56">
          <cell r="F56" t="str">
            <v>TKM02</v>
          </cell>
          <cell r="G56" t="str">
            <v>TKMK8</v>
          </cell>
          <cell r="H56">
            <v>438</v>
          </cell>
          <cell r="I56" t="str">
            <v>02</v>
          </cell>
          <cell r="J56" t="str">
            <v>x</v>
          </cell>
          <cell r="K56" t="str">
            <v>YES</v>
          </cell>
          <cell r="L56" t="str">
            <v>YES</v>
          </cell>
          <cell r="M56" t="str">
            <v>YES</v>
          </cell>
          <cell r="N56" t="str">
            <v>YES</v>
          </cell>
          <cell r="O56" t="str">
            <v>YES</v>
          </cell>
          <cell r="P56" t="str">
            <v>YES</v>
          </cell>
          <cell r="Q56" t="str">
            <v>YES</v>
          </cell>
          <cell r="R56" t="str">
            <v>YES</v>
          </cell>
          <cell r="S56"/>
          <cell r="T56"/>
          <cell r="U56"/>
          <cell r="V56"/>
          <cell r="W56"/>
          <cell r="X56"/>
          <cell r="Y56" t="str">
            <v>Live</v>
          </cell>
          <cell r="Z56" t="str">
            <v>Comfone</v>
          </cell>
        </row>
        <row r="57">
          <cell r="F57" t="str">
            <v>ANDMA</v>
          </cell>
          <cell r="G57"/>
          <cell r="H57" t="str">
            <v>213</v>
          </cell>
          <cell r="I57" t="str">
            <v>03</v>
          </cell>
          <cell r="J57" t="str">
            <v>x</v>
          </cell>
          <cell r="K57" t="str">
            <v>YES</v>
          </cell>
          <cell r="L57" t="str">
            <v>YES</v>
          </cell>
          <cell r="M57"/>
          <cell r="N57"/>
          <cell r="O57" t="str">
            <v>YES</v>
          </cell>
          <cell r="P57" t="str">
            <v>YES</v>
          </cell>
          <cell r="Q57" t="str">
            <v>YES</v>
          </cell>
          <cell r="R57" t="str">
            <v>YES</v>
          </cell>
          <cell r="S57"/>
          <cell r="T57"/>
          <cell r="U57"/>
          <cell r="V57"/>
          <cell r="W57"/>
          <cell r="X57"/>
          <cell r="Y57" t="str">
            <v>Live</v>
          </cell>
          <cell r="Z57" t="str">
            <v>Bilateral</v>
          </cell>
        </row>
        <row r="58">
          <cell r="F58" t="str">
            <v>URYAN</v>
          </cell>
          <cell r="G58" t="str">
            <v>URYK9</v>
          </cell>
          <cell r="H58">
            <v>748</v>
          </cell>
          <cell r="I58" t="str">
            <v>01</v>
          </cell>
          <cell r="J58" t="str">
            <v>x</v>
          </cell>
          <cell r="K58" t="str">
            <v>YES</v>
          </cell>
          <cell r="L58" t="str">
            <v>YES</v>
          </cell>
          <cell r="M58"/>
          <cell r="N58" t="str">
            <v>YES</v>
          </cell>
          <cell r="O58" t="str">
            <v>YES</v>
          </cell>
          <cell r="P58" t="str">
            <v>YES</v>
          </cell>
          <cell r="Q58" t="str">
            <v>YES</v>
          </cell>
          <cell r="R58" t="str">
            <v>YES</v>
          </cell>
          <cell r="S58"/>
          <cell r="T58" t="str">
            <v>YES</v>
          </cell>
          <cell r="U58"/>
          <cell r="V58"/>
          <cell r="W58"/>
          <cell r="X58"/>
          <cell r="Y58" t="str">
            <v>Live</v>
          </cell>
          <cell r="Z58" t="str">
            <v>Comfone</v>
          </cell>
        </row>
        <row r="59">
          <cell r="F59" t="str">
            <v>TWNGT</v>
          </cell>
          <cell r="G59"/>
          <cell r="H59">
            <v>466</v>
          </cell>
          <cell r="I59" t="str">
            <v>05</v>
          </cell>
          <cell r="J59" t="str">
            <v>x</v>
          </cell>
          <cell r="K59" t="str">
            <v>YES</v>
          </cell>
          <cell r="L59" t="str">
            <v>Planned</v>
          </cell>
          <cell r="M59"/>
          <cell r="N59"/>
          <cell r="O59" t="str">
            <v>YES</v>
          </cell>
          <cell r="P59" t="str">
            <v>Planned</v>
          </cell>
          <cell r="Q59" t="str">
            <v>YES</v>
          </cell>
          <cell r="R59" t="str">
            <v>Planned</v>
          </cell>
          <cell r="S59" t="str">
            <v>YES</v>
          </cell>
          <cell r="T59" t="str">
            <v>Planned</v>
          </cell>
          <cell r="U59"/>
          <cell r="V59"/>
          <cell r="W59"/>
          <cell r="X59"/>
          <cell r="Y59" t="str">
            <v>Live</v>
          </cell>
          <cell r="Z59" t="str">
            <v>Bilateral</v>
          </cell>
        </row>
        <row r="60">
          <cell r="F60" t="str">
            <v>IRQAC</v>
          </cell>
          <cell r="G60"/>
          <cell r="H60" t="str">
            <v>418</v>
          </cell>
          <cell r="I60" t="str">
            <v>05</v>
          </cell>
          <cell r="J60"/>
          <cell r="K60" t="str">
            <v>YES</v>
          </cell>
          <cell r="L60" t="str">
            <v>YES</v>
          </cell>
          <cell r="M60" t="str">
            <v>YES</v>
          </cell>
          <cell r="N60" t="str">
            <v>YES</v>
          </cell>
          <cell r="O60" t="str">
            <v>YES</v>
          </cell>
          <cell r="P60" t="str">
            <v>YES</v>
          </cell>
          <cell r="Q60" t="str">
            <v>N.A</v>
          </cell>
          <cell r="R60"/>
          <cell r="S60" t="str">
            <v>YES</v>
          </cell>
          <cell r="T60"/>
          <cell r="U60"/>
          <cell r="V60"/>
          <cell r="W60"/>
          <cell r="X60"/>
          <cell r="Y60" t="str">
            <v>Live</v>
          </cell>
          <cell r="Z60" t="str">
            <v>Bilateral</v>
          </cell>
        </row>
        <row r="61">
          <cell r="F61" t="str">
            <v>MEXN3</v>
          </cell>
          <cell r="G61" t="str">
            <v>MEXK9</v>
          </cell>
          <cell r="H61">
            <v>334</v>
          </cell>
          <cell r="I61">
            <v>90</v>
          </cell>
          <cell r="J61" t="str">
            <v>x</v>
          </cell>
          <cell r="K61" t="str">
            <v>YES</v>
          </cell>
          <cell r="L61"/>
          <cell r="M61" t="str">
            <v>N.A</v>
          </cell>
          <cell r="N61"/>
          <cell r="O61" t="str">
            <v>YES</v>
          </cell>
          <cell r="P61"/>
          <cell r="Q61" t="str">
            <v>YES</v>
          </cell>
          <cell r="R61"/>
          <cell r="S61"/>
          <cell r="T61"/>
          <cell r="U61"/>
          <cell r="V61"/>
          <cell r="W61"/>
          <cell r="X61"/>
          <cell r="Y61" t="str">
            <v>Terminated</v>
          </cell>
          <cell r="Z61" t="str">
            <v>Comfone</v>
          </cell>
        </row>
        <row r="62">
          <cell r="F62" t="str">
            <v>MEXIU</v>
          </cell>
          <cell r="G62" t="str">
            <v>MEXFT</v>
          </cell>
          <cell r="H62">
            <v>334</v>
          </cell>
          <cell r="I62">
            <v>50</v>
          </cell>
          <cell r="J62" t="str">
            <v>x</v>
          </cell>
          <cell r="K62" t="str">
            <v>YES</v>
          </cell>
          <cell r="L62" t="str">
            <v>YES</v>
          </cell>
          <cell r="M62"/>
          <cell r="N62" t="str">
            <v>YES</v>
          </cell>
          <cell r="O62" t="str">
            <v>YES</v>
          </cell>
          <cell r="P62" t="str">
            <v>YES</v>
          </cell>
          <cell r="Q62" t="str">
            <v>YES</v>
          </cell>
          <cell r="R62" t="str">
            <v>YES</v>
          </cell>
          <cell r="S62"/>
          <cell r="T62"/>
          <cell r="U62"/>
          <cell r="V62"/>
          <cell r="W62"/>
          <cell r="X62"/>
          <cell r="Y62" t="str">
            <v>Live</v>
          </cell>
          <cell r="Z62" t="str">
            <v>Orange Hub</v>
          </cell>
        </row>
        <row r="63">
          <cell r="F63" t="str">
            <v>BMU01</v>
          </cell>
          <cell r="G63" t="str">
            <v>BMUK8</v>
          </cell>
          <cell r="H63">
            <v>901</v>
          </cell>
          <cell r="I63" t="str">
            <v>18</v>
          </cell>
          <cell r="J63" t="str">
            <v>x</v>
          </cell>
          <cell r="K63" t="str">
            <v>N.A</v>
          </cell>
          <cell r="L63" t="str">
            <v>YES</v>
          </cell>
          <cell r="M63" t="str">
            <v>N.A</v>
          </cell>
          <cell r="N63" t="str">
            <v>YES</v>
          </cell>
          <cell r="O63" t="str">
            <v>N.A</v>
          </cell>
          <cell r="P63" t="str">
            <v>YES</v>
          </cell>
          <cell r="Q63" t="str">
            <v>N.A</v>
          </cell>
          <cell r="R63" t="str">
            <v>YES</v>
          </cell>
          <cell r="S63" t="str">
            <v>N.A</v>
          </cell>
          <cell r="T63" t="str">
            <v>YES</v>
          </cell>
          <cell r="U63"/>
          <cell r="V63"/>
          <cell r="W63"/>
          <cell r="X63"/>
          <cell r="Y63" t="str">
            <v>Live</v>
          </cell>
          <cell r="Z63" t="str">
            <v>Comfone</v>
          </cell>
        </row>
        <row r="64">
          <cell r="F64" t="str">
            <v>USACG</v>
          </cell>
          <cell r="G64"/>
          <cell r="H64" t="str">
            <v>310</v>
          </cell>
          <cell r="I64" t="str">
            <v>410</v>
          </cell>
          <cell r="J64" t="str">
            <v>x</v>
          </cell>
          <cell r="K64" t="str">
            <v>YES</v>
          </cell>
          <cell r="L64" t="str">
            <v>Arrêté</v>
          </cell>
          <cell r="M64" t="str">
            <v>YES</v>
          </cell>
          <cell r="N64" t="str">
            <v>Arrêté</v>
          </cell>
          <cell r="O64" t="str">
            <v>YES</v>
          </cell>
          <cell r="P64" t="str">
            <v>Arrêté</v>
          </cell>
          <cell r="Q64" t="str">
            <v>YES</v>
          </cell>
          <cell r="R64" t="str">
            <v>Arrêté</v>
          </cell>
          <cell r="S64" t="str">
            <v>YES</v>
          </cell>
          <cell r="T64"/>
          <cell r="U64"/>
          <cell r="V64"/>
          <cell r="W64"/>
          <cell r="X64"/>
          <cell r="Y64" t="str">
            <v>Live</v>
          </cell>
          <cell r="Z64" t="str">
            <v>Bilateral</v>
          </cell>
        </row>
        <row r="65">
          <cell r="F65" t="str">
            <v>USACC</v>
          </cell>
          <cell r="G65"/>
          <cell r="H65">
            <v>310</v>
          </cell>
          <cell r="I65" t="str">
            <v>030</v>
          </cell>
          <cell r="J65"/>
          <cell r="K65" t="str">
            <v>YES</v>
          </cell>
          <cell r="L65" t="str">
            <v>N.A</v>
          </cell>
          <cell r="M65" t="str">
            <v>N.A</v>
          </cell>
          <cell r="N65" t="str">
            <v>N.A</v>
          </cell>
          <cell r="O65" t="str">
            <v>YES</v>
          </cell>
          <cell r="P65" t="str">
            <v>N.A</v>
          </cell>
          <cell r="Q65" t="str">
            <v>YES</v>
          </cell>
          <cell r="R65" t="str">
            <v>N.A</v>
          </cell>
          <cell r="S65" t="str">
            <v>YES</v>
          </cell>
          <cell r="T65" t="str">
            <v>N.A</v>
          </cell>
          <cell r="U65"/>
          <cell r="V65"/>
          <cell r="W65"/>
          <cell r="X65"/>
          <cell r="Y65" t="str">
            <v>Live</v>
          </cell>
          <cell r="Z65" t="str">
            <v>Bilateral</v>
          </cell>
        </row>
        <row r="66">
          <cell r="F66" t="str">
            <v>USAMF</v>
          </cell>
          <cell r="G66"/>
          <cell r="H66">
            <v>310</v>
          </cell>
          <cell r="I66" t="str">
            <v>280</v>
          </cell>
          <cell r="J66"/>
          <cell r="K66" t="str">
            <v>YES</v>
          </cell>
          <cell r="L66" t="str">
            <v>N.A</v>
          </cell>
          <cell r="M66" t="str">
            <v>YES</v>
          </cell>
          <cell r="N66" t="str">
            <v>N.A</v>
          </cell>
          <cell r="O66" t="str">
            <v>YES</v>
          </cell>
          <cell r="P66" t="str">
            <v>N.A</v>
          </cell>
          <cell r="Q66" t="str">
            <v>YES</v>
          </cell>
          <cell r="R66" t="str">
            <v>N.A</v>
          </cell>
          <cell r="S66" t="str">
            <v>YES</v>
          </cell>
          <cell r="T66" t="str">
            <v>N.A</v>
          </cell>
          <cell r="U66"/>
          <cell r="V66"/>
          <cell r="W66"/>
          <cell r="X66"/>
          <cell r="Y66" t="str">
            <v>Live</v>
          </cell>
          <cell r="Z66" t="str">
            <v>Bilateral</v>
          </cell>
        </row>
        <row r="67">
          <cell r="F67" t="str">
            <v>USAAT</v>
          </cell>
          <cell r="G67"/>
          <cell r="H67">
            <v>310</v>
          </cell>
          <cell r="I67" t="str">
            <v>380</v>
          </cell>
          <cell r="J67" t="str">
            <v>x</v>
          </cell>
          <cell r="K67" t="str">
            <v>YES</v>
          </cell>
          <cell r="L67" t="str">
            <v>Arrêté</v>
          </cell>
          <cell r="M67" t="str">
            <v>YES</v>
          </cell>
          <cell r="N67" t="str">
            <v>Arrêté</v>
          </cell>
          <cell r="O67" t="str">
            <v>YES</v>
          </cell>
          <cell r="P67" t="str">
            <v>Arrêté</v>
          </cell>
          <cell r="Q67" t="str">
            <v>YES</v>
          </cell>
          <cell r="R67" t="str">
            <v>Arrêté</v>
          </cell>
          <cell r="S67" t="str">
            <v>YES</v>
          </cell>
          <cell r="T67"/>
          <cell r="U67"/>
          <cell r="V67"/>
          <cell r="W67"/>
          <cell r="X67"/>
          <cell r="Y67" t="str">
            <v>Live</v>
          </cell>
          <cell r="Z67" t="str">
            <v>Bilateral</v>
          </cell>
        </row>
        <row r="68">
          <cell r="F68" t="str">
            <v>USABS</v>
          </cell>
          <cell r="G68"/>
          <cell r="H68" t="str">
            <v>310</v>
          </cell>
          <cell r="I68" t="str">
            <v>150</v>
          </cell>
          <cell r="J68" t="str">
            <v>x</v>
          </cell>
          <cell r="K68" t="str">
            <v>YES</v>
          </cell>
          <cell r="L68" t="str">
            <v>Arrêté</v>
          </cell>
          <cell r="M68" t="str">
            <v>YES</v>
          </cell>
          <cell r="N68" t="str">
            <v>Arrêté</v>
          </cell>
          <cell r="O68" t="str">
            <v>YES</v>
          </cell>
          <cell r="P68" t="str">
            <v>Arrêté</v>
          </cell>
          <cell r="Q68" t="str">
            <v>YES</v>
          </cell>
          <cell r="R68" t="str">
            <v>Arrêté</v>
          </cell>
          <cell r="S68"/>
          <cell r="T68"/>
          <cell r="U68"/>
          <cell r="V68"/>
          <cell r="W68"/>
          <cell r="X68"/>
          <cell r="Y68" t="str">
            <v>Live</v>
          </cell>
          <cell r="Z68" t="str">
            <v>Bilateral</v>
          </cell>
        </row>
        <row r="69">
          <cell r="F69" t="str">
            <v>USAPB</v>
          </cell>
          <cell r="G69"/>
          <cell r="H69">
            <v>310</v>
          </cell>
          <cell r="I69" t="str">
            <v>170</v>
          </cell>
          <cell r="J69" t="str">
            <v>x</v>
          </cell>
          <cell r="K69" t="str">
            <v>YES</v>
          </cell>
          <cell r="L69" t="str">
            <v>Arrêté</v>
          </cell>
          <cell r="M69" t="str">
            <v>YES</v>
          </cell>
          <cell r="N69" t="str">
            <v>Arrêté</v>
          </cell>
          <cell r="O69" t="str">
            <v>YES</v>
          </cell>
          <cell r="P69" t="str">
            <v>Arrêté</v>
          </cell>
          <cell r="Q69" t="str">
            <v>YES</v>
          </cell>
          <cell r="R69" t="str">
            <v>Arrêté</v>
          </cell>
          <cell r="S69" t="str">
            <v>YES</v>
          </cell>
          <cell r="T69"/>
          <cell r="U69"/>
          <cell r="V69"/>
          <cell r="W69"/>
          <cell r="X69"/>
          <cell r="Y69" t="str">
            <v>Live</v>
          </cell>
          <cell r="Z69" t="str">
            <v>Bilateral</v>
          </cell>
        </row>
        <row r="70">
          <cell r="F70" t="str">
            <v>USAFN</v>
          </cell>
          <cell r="G70"/>
          <cell r="H70">
            <v>313</v>
          </cell>
          <cell r="I70" t="str">
            <v>100</v>
          </cell>
          <cell r="J70" t="str">
            <v>x</v>
          </cell>
          <cell r="K70" t="str">
            <v>YES</v>
          </cell>
          <cell r="L70" t="str">
            <v>N.A</v>
          </cell>
          <cell r="M70" t="str">
            <v>YES</v>
          </cell>
          <cell r="N70" t="str">
            <v>N.A</v>
          </cell>
          <cell r="O70" t="str">
            <v>YES</v>
          </cell>
          <cell r="P70" t="str">
            <v>N.A</v>
          </cell>
          <cell r="Q70" t="str">
            <v>YES</v>
          </cell>
          <cell r="R70" t="str">
            <v>N.A</v>
          </cell>
          <cell r="S70" t="str">
            <v>YES</v>
          </cell>
          <cell r="T70" t="str">
            <v>N.A</v>
          </cell>
          <cell r="U70"/>
          <cell r="V70"/>
          <cell r="W70"/>
          <cell r="X70"/>
          <cell r="Y70" t="str">
            <v>Live</v>
          </cell>
          <cell r="Z70" t="str">
            <v>Bilateral</v>
          </cell>
        </row>
        <row r="71">
          <cell r="F71" t="str">
            <v>DZAA1</v>
          </cell>
          <cell r="G71"/>
          <cell r="H71" t="str">
            <v>603</v>
          </cell>
          <cell r="I71" t="str">
            <v>01</v>
          </cell>
          <cell r="J71" t="str">
            <v>x</v>
          </cell>
          <cell r="K71" t="str">
            <v>YES</v>
          </cell>
          <cell r="L71" t="str">
            <v>YES</v>
          </cell>
          <cell r="M71" t="str">
            <v>YES</v>
          </cell>
          <cell r="N71" t="str">
            <v>YES</v>
          </cell>
          <cell r="O71" t="str">
            <v>YES</v>
          </cell>
          <cell r="P71" t="str">
            <v>YES</v>
          </cell>
          <cell r="Q71" t="str">
            <v>YES</v>
          </cell>
          <cell r="R71" t="str">
            <v>YES</v>
          </cell>
          <cell r="S71" t="str">
            <v>YES</v>
          </cell>
          <cell r="T71" t="str">
            <v>YES</v>
          </cell>
          <cell r="U71"/>
          <cell r="V71"/>
          <cell r="W71"/>
          <cell r="X71"/>
          <cell r="Y71" t="str">
            <v>Live</v>
          </cell>
          <cell r="Z71" t="str">
            <v>Bilateral</v>
          </cell>
        </row>
        <row r="72">
          <cell r="F72" t="str">
            <v>TURIS</v>
          </cell>
          <cell r="G72"/>
          <cell r="H72">
            <v>286</v>
          </cell>
          <cell r="I72" t="str">
            <v>03</v>
          </cell>
          <cell r="J72" t="str">
            <v>x</v>
          </cell>
          <cell r="K72" t="str">
            <v>YES</v>
          </cell>
          <cell r="L72" t="str">
            <v>YES</v>
          </cell>
          <cell r="M72" t="str">
            <v>YES</v>
          </cell>
          <cell r="N72" t="str">
            <v>YES</v>
          </cell>
          <cell r="O72" t="str">
            <v>YES</v>
          </cell>
          <cell r="P72" t="str">
            <v>YES</v>
          </cell>
          <cell r="Q72" t="str">
            <v>YES</v>
          </cell>
          <cell r="R72" t="str">
            <v>YES</v>
          </cell>
          <cell r="S72" t="str">
            <v>YES</v>
          </cell>
          <cell r="T72" t="str">
            <v>YES</v>
          </cell>
          <cell r="U72"/>
          <cell r="V72"/>
          <cell r="W72"/>
          <cell r="X72"/>
          <cell r="Y72" t="str">
            <v>Live</v>
          </cell>
          <cell r="Z72" t="str">
            <v>Bilateral</v>
          </cell>
        </row>
        <row r="73">
          <cell r="F73" t="str">
            <v>TURAC</v>
          </cell>
          <cell r="G73"/>
          <cell r="H73">
            <v>286</v>
          </cell>
          <cell r="I73" t="str">
            <v>04</v>
          </cell>
          <cell r="J73" t="str">
            <v>x</v>
          </cell>
          <cell r="K73" t="str">
            <v>YES</v>
          </cell>
          <cell r="L73"/>
          <cell r="M73" t="str">
            <v>YES</v>
          </cell>
          <cell r="N73"/>
          <cell r="O73" t="str">
            <v>YES</v>
          </cell>
          <cell r="P73"/>
          <cell r="Q73" t="str">
            <v>YES</v>
          </cell>
          <cell r="R73"/>
          <cell r="S73" t="str">
            <v>YES</v>
          </cell>
          <cell r="T73"/>
          <cell r="U73"/>
          <cell r="V73"/>
          <cell r="W73"/>
          <cell r="X73"/>
          <cell r="Y73" t="str">
            <v>Live</v>
          </cell>
          <cell r="Z73" t="str">
            <v>Bilateral</v>
          </cell>
        </row>
        <row r="74">
          <cell r="F74" t="str">
            <v>THAWN</v>
          </cell>
          <cell r="G74" t="str">
            <v>THAK9</v>
          </cell>
          <cell r="H74">
            <v>520</v>
          </cell>
          <cell r="I74" t="str">
            <v>03</v>
          </cell>
          <cell r="J74" t="str">
            <v>x</v>
          </cell>
          <cell r="K74" t="str">
            <v>YES</v>
          </cell>
          <cell r="L74" t="str">
            <v>YES</v>
          </cell>
          <cell r="M74" t="str">
            <v>YES</v>
          </cell>
          <cell r="N74" t="str">
            <v>YES</v>
          </cell>
          <cell r="O74" t="str">
            <v>YES</v>
          </cell>
          <cell r="P74" t="str">
            <v>YES</v>
          </cell>
          <cell r="Q74" t="str">
            <v>YES</v>
          </cell>
          <cell r="R74" t="str">
            <v>YES</v>
          </cell>
          <cell r="S74" t="str">
            <v>YES</v>
          </cell>
          <cell r="T74" t="str">
            <v>YES</v>
          </cell>
          <cell r="U74"/>
          <cell r="V74"/>
          <cell r="W74"/>
          <cell r="X74"/>
          <cell r="Y74" t="str">
            <v>Live</v>
          </cell>
          <cell r="Z74" t="str">
            <v>Comfone</v>
          </cell>
        </row>
        <row r="75">
          <cell r="F75" t="str">
            <v>IDNLT</v>
          </cell>
          <cell r="G75"/>
          <cell r="H75">
            <v>510</v>
          </cell>
          <cell r="I75" t="str">
            <v>08</v>
          </cell>
          <cell r="J75"/>
          <cell r="K75" t="str">
            <v>YES</v>
          </cell>
          <cell r="L75" t="str">
            <v>Arrêté</v>
          </cell>
          <cell r="M75" t="str">
            <v>YES</v>
          </cell>
          <cell r="N75" t="str">
            <v>Arrêté</v>
          </cell>
          <cell r="O75" t="str">
            <v>YES</v>
          </cell>
          <cell r="P75" t="str">
            <v>Arrêté</v>
          </cell>
          <cell r="Q75" t="str">
            <v>YES</v>
          </cell>
          <cell r="R75" t="str">
            <v>Arrêté</v>
          </cell>
          <cell r="S75"/>
          <cell r="T75"/>
          <cell r="U75"/>
          <cell r="V75"/>
          <cell r="W75"/>
          <cell r="X75"/>
          <cell r="Y75" t="str">
            <v>Live</v>
          </cell>
          <cell r="Z75" t="str">
            <v>Bilateral</v>
          </cell>
        </row>
        <row r="76">
          <cell r="F76" t="str">
            <v>AZEBC</v>
          </cell>
          <cell r="G76"/>
          <cell r="H76" t="str">
            <v>400</v>
          </cell>
          <cell r="I76" t="str">
            <v>02</v>
          </cell>
          <cell r="J76" t="str">
            <v>x</v>
          </cell>
          <cell r="K76" t="str">
            <v>YES</v>
          </cell>
          <cell r="L76" t="str">
            <v>YES</v>
          </cell>
          <cell r="M76" t="str">
            <v>YES</v>
          </cell>
          <cell r="N76" t="str">
            <v>YES</v>
          </cell>
          <cell r="O76" t="str">
            <v>YES</v>
          </cell>
          <cell r="P76" t="str">
            <v>YES</v>
          </cell>
          <cell r="Q76" t="str">
            <v>YES</v>
          </cell>
          <cell r="R76" t="str">
            <v>YES</v>
          </cell>
          <cell r="S76" t="str">
            <v>YES</v>
          </cell>
          <cell r="T76" t="str">
            <v>YES</v>
          </cell>
          <cell r="U76"/>
          <cell r="V76"/>
          <cell r="W76"/>
          <cell r="X76"/>
          <cell r="Y76" t="str">
            <v>Live</v>
          </cell>
          <cell r="Z76" t="str">
            <v>Bilateral</v>
          </cell>
        </row>
        <row r="77">
          <cell r="F77" t="str">
            <v>BGDBL</v>
          </cell>
          <cell r="G77" t="str">
            <v>BGDFT</v>
          </cell>
          <cell r="H77" t="str">
            <v>470</v>
          </cell>
          <cell r="I77" t="str">
            <v>03</v>
          </cell>
          <cell r="J77" t="str">
            <v>x</v>
          </cell>
          <cell r="K77" t="str">
            <v>YES</v>
          </cell>
          <cell r="L77" t="str">
            <v>YES</v>
          </cell>
          <cell r="M77"/>
          <cell r="N77"/>
          <cell r="O77" t="str">
            <v>YES</v>
          </cell>
          <cell r="P77" t="str">
            <v>YES</v>
          </cell>
          <cell r="Q77" t="str">
            <v>YES</v>
          </cell>
          <cell r="R77" t="str">
            <v>YES</v>
          </cell>
          <cell r="S77"/>
          <cell r="T77"/>
          <cell r="U77"/>
          <cell r="V77"/>
          <cell r="W77"/>
          <cell r="X77"/>
          <cell r="Y77" t="str">
            <v>Live</v>
          </cell>
          <cell r="Z77" t="str">
            <v>Orange Hub</v>
          </cell>
        </row>
        <row r="78">
          <cell r="F78" t="str">
            <v>BHSNC</v>
          </cell>
          <cell r="G78" t="str">
            <v xml:space="preserve">BHSK7 </v>
          </cell>
          <cell r="H78" t="str">
            <v>364</v>
          </cell>
          <cell r="I78" t="str">
            <v>49</v>
          </cell>
          <cell r="J78" t="str">
            <v>x</v>
          </cell>
          <cell r="K78" t="str">
            <v>YES</v>
          </cell>
          <cell r="L78" t="str">
            <v>YES</v>
          </cell>
          <cell r="M78" t="str">
            <v>YES</v>
          </cell>
          <cell r="N78" t="str">
            <v>YES</v>
          </cell>
          <cell r="O78" t="str">
            <v>YES</v>
          </cell>
          <cell r="P78" t="str">
            <v>YES</v>
          </cell>
          <cell r="Q78" t="str">
            <v>YES</v>
          </cell>
          <cell r="R78" t="str">
            <v>YES</v>
          </cell>
          <cell r="S78" t="str">
            <v>YES</v>
          </cell>
          <cell r="T78" t="str">
            <v>YES</v>
          </cell>
          <cell r="U78"/>
          <cell r="V78"/>
          <cell r="W78"/>
          <cell r="X78"/>
          <cell r="Y78" t="str">
            <v>Live</v>
          </cell>
          <cell r="Z78" t="str">
            <v>Comfone</v>
          </cell>
        </row>
        <row r="79">
          <cell r="F79" t="str">
            <v>BLZ67</v>
          </cell>
          <cell r="G79" t="str">
            <v>BLZK9</v>
          </cell>
          <cell r="H79" t="str">
            <v>702</v>
          </cell>
          <cell r="I79" t="str">
            <v>67</v>
          </cell>
          <cell r="J79" t="str">
            <v>x</v>
          </cell>
          <cell r="K79" t="str">
            <v>YES</v>
          </cell>
          <cell r="L79" t="str">
            <v>YES</v>
          </cell>
          <cell r="M79"/>
          <cell r="N79" t="str">
            <v>YES</v>
          </cell>
          <cell r="O79" t="str">
            <v>YES</v>
          </cell>
          <cell r="P79" t="str">
            <v>YES</v>
          </cell>
          <cell r="Q79" t="str">
            <v>YES</v>
          </cell>
          <cell r="R79" t="str">
            <v>YES</v>
          </cell>
          <cell r="S79" t="str">
            <v>YES</v>
          </cell>
          <cell r="T79" t="str">
            <v>YES</v>
          </cell>
          <cell r="U79"/>
          <cell r="V79"/>
          <cell r="W79"/>
          <cell r="X79"/>
          <cell r="Y79" t="str">
            <v>Live</v>
          </cell>
          <cell r="Z79" t="str">
            <v>Comfone</v>
          </cell>
        </row>
        <row r="80">
          <cell r="F80" t="str">
            <v>BENBB</v>
          </cell>
          <cell r="G80"/>
          <cell r="H80" t="str">
            <v>616</v>
          </cell>
          <cell r="I80" t="str">
            <v>04</v>
          </cell>
          <cell r="J80"/>
          <cell r="K80" t="str">
            <v>YES</v>
          </cell>
          <cell r="L80" t="str">
            <v>YES</v>
          </cell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 t="str">
            <v>Live</v>
          </cell>
          <cell r="Z80" t="str">
            <v>Bilateral</v>
          </cell>
        </row>
        <row r="81">
          <cell r="F81" t="str">
            <v>CANBM</v>
          </cell>
          <cell r="G81"/>
          <cell r="H81" t="str">
            <v>302</v>
          </cell>
          <cell r="I81" t="str">
            <v>610</v>
          </cell>
          <cell r="J81" t="str">
            <v>x</v>
          </cell>
          <cell r="K81" t="str">
            <v>YES</v>
          </cell>
          <cell r="L81" t="str">
            <v>YES</v>
          </cell>
          <cell r="M81" t="str">
            <v>YES</v>
          </cell>
          <cell r="N81" t="str">
            <v>YES</v>
          </cell>
          <cell r="O81" t="str">
            <v>YES</v>
          </cell>
          <cell r="P81" t="str">
            <v>YES</v>
          </cell>
          <cell r="Q81" t="str">
            <v>YES</v>
          </cell>
          <cell r="R81" t="str">
            <v>YES</v>
          </cell>
          <cell r="S81" t="str">
            <v>YES</v>
          </cell>
          <cell r="T81" t="str">
            <v>YES</v>
          </cell>
          <cell r="U81"/>
          <cell r="V81"/>
          <cell r="W81"/>
          <cell r="X81"/>
          <cell r="Y81" t="str">
            <v>Live</v>
          </cell>
          <cell r="Z81" t="str">
            <v>Bilateral</v>
          </cell>
        </row>
        <row r="82">
          <cell r="F82" t="str">
            <v>SLBBM</v>
          </cell>
          <cell r="G82" t="str">
            <v>SLBK8</v>
          </cell>
          <cell r="H82">
            <v>540</v>
          </cell>
          <cell r="I82" t="str">
            <v>02</v>
          </cell>
          <cell r="J82" t="str">
            <v>x</v>
          </cell>
          <cell r="K82"/>
          <cell r="L82" t="str">
            <v>YES</v>
          </cell>
          <cell r="M82"/>
          <cell r="N82" t="str">
            <v>YES</v>
          </cell>
          <cell r="O82"/>
          <cell r="P82" t="str">
            <v>YES</v>
          </cell>
          <cell r="Q82"/>
          <cell r="R82" t="str">
            <v>YES</v>
          </cell>
          <cell r="S82" t="str">
            <v>N.A</v>
          </cell>
          <cell r="T82"/>
          <cell r="U82"/>
          <cell r="V82"/>
          <cell r="W82"/>
          <cell r="X82"/>
          <cell r="Y82" t="str">
            <v>Live</v>
          </cell>
          <cell r="Z82" t="str">
            <v>Comfone</v>
          </cell>
        </row>
        <row r="83">
          <cell r="F83" t="str">
            <v>BMUBD</v>
          </cell>
          <cell r="G83" t="str">
            <v>BMUK9</v>
          </cell>
          <cell r="H83" t="str">
            <v>350</v>
          </cell>
          <cell r="I83" t="str">
            <v>000</v>
          </cell>
          <cell r="J83" t="str">
            <v>x</v>
          </cell>
          <cell r="K83"/>
          <cell r="L83" t="str">
            <v>YES</v>
          </cell>
          <cell r="M83"/>
          <cell r="N83" t="str">
            <v>YES</v>
          </cell>
          <cell r="O83"/>
          <cell r="P83" t="str">
            <v>YES</v>
          </cell>
          <cell r="Q83"/>
          <cell r="R83" t="str">
            <v>YES</v>
          </cell>
          <cell r="S83"/>
          <cell r="T83" t="str">
            <v>YES</v>
          </cell>
          <cell r="U83"/>
          <cell r="V83"/>
          <cell r="W83"/>
          <cell r="X83"/>
          <cell r="Y83" t="str">
            <v>Live</v>
          </cell>
          <cell r="Z83" t="str">
            <v>Comfone</v>
          </cell>
        </row>
        <row r="84">
          <cell r="F84" t="str">
            <v>INDA1</v>
          </cell>
          <cell r="G84"/>
          <cell r="H84" t="str">
            <v>404</v>
          </cell>
          <cell r="I84" t="str">
            <v>92</v>
          </cell>
          <cell r="J84" t="str">
            <v>x</v>
          </cell>
          <cell r="K84" t="str">
            <v>YES</v>
          </cell>
          <cell r="L84" t="str">
            <v>YES</v>
          </cell>
          <cell r="M84" t="str">
            <v>YES</v>
          </cell>
          <cell r="N84" t="str">
            <v>YES</v>
          </cell>
          <cell r="O84" t="str">
            <v>YES</v>
          </cell>
          <cell r="P84" t="str">
            <v>Arrêté</v>
          </cell>
          <cell r="Q84" t="str">
            <v>YES</v>
          </cell>
          <cell r="R84" t="str">
            <v>Arrêté</v>
          </cell>
          <cell r="S84" t="str">
            <v>YES</v>
          </cell>
          <cell r="T84" t="str">
            <v>YES</v>
          </cell>
          <cell r="U84"/>
          <cell r="V84"/>
          <cell r="W84"/>
          <cell r="X84"/>
          <cell r="Y84" t="str">
            <v>Live</v>
          </cell>
          <cell r="Z84" t="str">
            <v>Bilateral</v>
          </cell>
        </row>
        <row r="85">
          <cell r="F85" t="str">
            <v>INDAT</v>
          </cell>
          <cell r="G85"/>
          <cell r="H85" t="str">
            <v>404</v>
          </cell>
          <cell r="I85" t="str">
            <v>10</v>
          </cell>
          <cell r="J85" t="str">
            <v>x</v>
          </cell>
          <cell r="K85" t="str">
            <v>YES</v>
          </cell>
          <cell r="L85" t="str">
            <v>YES</v>
          </cell>
          <cell r="M85" t="str">
            <v>YES</v>
          </cell>
          <cell r="N85" t="str">
            <v>YES</v>
          </cell>
          <cell r="O85" t="str">
            <v>YES</v>
          </cell>
          <cell r="P85" t="str">
            <v>Arrêté</v>
          </cell>
          <cell r="Q85" t="str">
            <v>YES</v>
          </cell>
          <cell r="R85" t="str">
            <v>Arrêté</v>
          </cell>
          <cell r="S85" t="str">
            <v>YES</v>
          </cell>
          <cell r="T85" t="str">
            <v>YES</v>
          </cell>
          <cell r="U85"/>
          <cell r="V85"/>
          <cell r="W85"/>
          <cell r="X85"/>
          <cell r="Y85" t="str">
            <v>Live</v>
          </cell>
          <cell r="Z85" t="str">
            <v>Bilateral</v>
          </cell>
        </row>
        <row r="86">
          <cell r="F86" t="str">
            <v>INDBL</v>
          </cell>
          <cell r="G86"/>
          <cell r="H86" t="str">
            <v>404</v>
          </cell>
          <cell r="I86" t="str">
            <v>03</v>
          </cell>
          <cell r="J86" t="str">
            <v>x</v>
          </cell>
          <cell r="K86" t="str">
            <v>YES</v>
          </cell>
          <cell r="L86" t="str">
            <v>YES</v>
          </cell>
          <cell r="M86" t="str">
            <v>YES</v>
          </cell>
          <cell r="N86" t="str">
            <v>YES</v>
          </cell>
          <cell r="O86" t="str">
            <v>YES</v>
          </cell>
          <cell r="P86" t="str">
            <v>Arrêté</v>
          </cell>
          <cell r="Q86" t="str">
            <v>YES</v>
          </cell>
          <cell r="R86" t="str">
            <v>Arrêté</v>
          </cell>
          <cell r="S86" t="str">
            <v>YES</v>
          </cell>
          <cell r="T86" t="str">
            <v>YES</v>
          </cell>
          <cell r="U86"/>
          <cell r="V86"/>
          <cell r="W86"/>
          <cell r="X86"/>
          <cell r="Y86" t="str">
            <v>Live</v>
          </cell>
          <cell r="Z86" t="str">
            <v>Bilateral</v>
          </cell>
        </row>
        <row r="87">
          <cell r="F87" t="str">
            <v>INDH1</v>
          </cell>
          <cell r="G87"/>
          <cell r="H87" t="str">
            <v>404</v>
          </cell>
          <cell r="I87" t="str">
            <v>70</v>
          </cell>
          <cell r="J87" t="str">
            <v>x</v>
          </cell>
          <cell r="K87" t="str">
            <v>YES</v>
          </cell>
          <cell r="L87" t="str">
            <v>YES</v>
          </cell>
          <cell r="M87" t="str">
            <v>YES</v>
          </cell>
          <cell r="N87" t="str">
            <v>YES</v>
          </cell>
          <cell r="O87" t="str">
            <v>YES</v>
          </cell>
          <cell r="P87" t="str">
            <v>Arrêté</v>
          </cell>
          <cell r="Q87" t="str">
            <v>YES</v>
          </cell>
          <cell r="R87" t="str">
            <v>Arrêté</v>
          </cell>
          <cell r="S87" t="str">
            <v>YES</v>
          </cell>
          <cell r="T87" t="str">
            <v>YES</v>
          </cell>
          <cell r="U87"/>
          <cell r="V87"/>
          <cell r="W87"/>
          <cell r="X87"/>
          <cell r="Y87" t="str">
            <v>Live</v>
          </cell>
          <cell r="Z87" t="str">
            <v>Bilateral</v>
          </cell>
        </row>
        <row r="88">
          <cell r="F88" t="str">
            <v>INDA6</v>
          </cell>
          <cell r="G88"/>
          <cell r="H88" t="str">
            <v>404</v>
          </cell>
          <cell r="I88" t="str">
            <v>97</v>
          </cell>
          <cell r="J88" t="str">
            <v>x</v>
          </cell>
          <cell r="K88" t="str">
            <v>YES</v>
          </cell>
          <cell r="L88" t="str">
            <v>YES</v>
          </cell>
          <cell r="M88" t="str">
            <v>YES</v>
          </cell>
          <cell r="N88" t="str">
            <v>YES</v>
          </cell>
          <cell r="O88" t="str">
            <v>YES</v>
          </cell>
          <cell r="P88" t="str">
            <v>Arrêté</v>
          </cell>
          <cell r="Q88" t="str">
            <v>YES</v>
          </cell>
          <cell r="R88" t="str">
            <v>Arrêté</v>
          </cell>
          <cell r="S88" t="str">
            <v>YES</v>
          </cell>
          <cell r="T88" t="str">
            <v>YES</v>
          </cell>
          <cell r="U88"/>
          <cell r="V88"/>
          <cell r="W88"/>
          <cell r="X88"/>
          <cell r="Y88" t="str">
            <v>Live</v>
          </cell>
          <cell r="Z88" t="str">
            <v>Bilateral</v>
          </cell>
        </row>
        <row r="89">
          <cell r="F89" t="str">
            <v>INDA5</v>
          </cell>
          <cell r="G89"/>
          <cell r="H89" t="str">
            <v>404</v>
          </cell>
          <cell r="I89" t="str">
            <v>96</v>
          </cell>
          <cell r="J89" t="str">
            <v>x</v>
          </cell>
          <cell r="K89" t="str">
            <v>YES</v>
          </cell>
          <cell r="L89" t="str">
            <v>YES</v>
          </cell>
          <cell r="M89" t="str">
            <v>YES</v>
          </cell>
          <cell r="N89" t="str">
            <v>YES</v>
          </cell>
          <cell r="O89" t="str">
            <v>YES</v>
          </cell>
          <cell r="P89" t="str">
            <v>Arrêté</v>
          </cell>
          <cell r="Q89" t="str">
            <v>YES</v>
          </cell>
          <cell r="R89" t="str">
            <v>Arrêté</v>
          </cell>
          <cell r="S89" t="str">
            <v>YES</v>
          </cell>
          <cell r="T89" t="str">
            <v>YES</v>
          </cell>
          <cell r="U89"/>
          <cell r="V89"/>
          <cell r="W89"/>
          <cell r="X89"/>
          <cell r="Y89" t="str">
            <v>Live</v>
          </cell>
          <cell r="Z89" t="str">
            <v>Bilateral</v>
          </cell>
        </row>
        <row r="90">
          <cell r="F90" t="str">
            <v>INDA2</v>
          </cell>
          <cell r="G90"/>
          <cell r="H90" t="str">
            <v>404</v>
          </cell>
          <cell r="I90" t="str">
            <v>90</v>
          </cell>
          <cell r="J90" t="str">
            <v>x</v>
          </cell>
          <cell r="K90" t="str">
            <v>YES</v>
          </cell>
          <cell r="L90" t="str">
            <v>YES</v>
          </cell>
          <cell r="M90" t="str">
            <v>YES</v>
          </cell>
          <cell r="N90" t="str">
            <v>YES</v>
          </cell>
          <cell r="O90" t="str">
            <v>YES</v>
          </cell>
          <cell r="P90" t="str">
            <v>Arrêté</v>
          </cell>
          <cell r="Q90" t="str">
            <v>YES</v>
          </cell>
          <cell r="R90" t="str">
            <v>Arrêté</v>
          </cell>
          <cell r="S90" t="str">
            <v>YES</v>
          </cell>
          <cell r="T90" t="str">
            <v>YES</v>
          </cell>
          <cell r="U90"/>
          <cell r="V90"/>
          <cell r="W90"/>
          <cell r="X90"/>
          <cell r="Y90" t="str">
            <v>Live</v>
          </cell>
          <cell r="Z90" t="str">
            <v>Bilateral</v>
          </cell>
        </row>
        <row r="91">
          <cell r="F91" t="str">
            <v>INDA3</v>
          </cell>
          <cell r="G91"/>
          <cell r="H91" t="str">
            <v>404</v>
          </cell>
          <cell r="I91" t="str">
            <v>98</v>
          </cell>
          <cell r="J91" t="str">
            <v>x</v>
          </cell>
          <cell r="K91" t="str">
            <v>YES</v>
          </cell>
          <cell r="L91" t="str">
            <v>YES</v>
          </cell>
          <cell r="M91" t="str">
            <v>YES</v>
          </cell>
          <cell r="N91" t="str">
            <v>YES</v>
          </cell>
          <cell r="O91" t="str">
            <v>YES</v>
          </cell>
          <cell r="P91" t="str">
            <v>Arrêté</v>
          </cell>
          <cell r="Q91" t="str">
            <v>YES</v>
          </cell>
          <cell r="R91" t="str">
            <v>Arrêté</v>
          </cell>
          <cell r="S91" t="str">
            <v>YES</v>
          </cell>
          <cell r="T91" t="str">
            <v>YES</v>
          </cell>
          <cell r="U91"/>
          <cell r="V91"/>
          <cell r="W91"/>
          <cell r="X91"/>
          <cell r="Y91" t="str">
            <v>Live</v>
          </cell>
          <cell r="Z91" t="str">
            <v>Bilateral</v>
          </cell>
        </row>
        <row r="92">
          <cell r="F92" t="str">
            <v>INDA8</v>
          </cell>
          <cell r="G92"/>
          <cell r="H92" t="str">
            <v>404</v>
          </cell>
          <cell r="I92" t="str">
            <v>93</v>
          </cell>
          <cell r="J92" t="str">
            <v>x</v>
          </cell>
          <cell r="K92" t="str">
            <v>YES</v>
          </cell>
          <cell r="L92" t="str">
            <v>YES</v>
          </cell>
          <cell r="M92" t="str">
            <v>YES</v>
          </cell>
          <cell r="N92" t="str">
            <v>YES</v>
          </cell>
          <cell r="O92" t="str">
            <v>YES</v>
          </cell>
          <cell r="P92" t="str">
            <v>Arrêté</v>
          </cell>
          <cell r="Q92" t="str">
            <v>YES</v>
          </cell>
          <cell r="R92" t="str">
            <v>Arrêté</v>
          </cell>
          <cell r="S92" t="str">
            <v>YES</v>
          </cell>
          <cell r="T92" t="str">
            <v>YES</v>
          </cell>
          <cell r="U92"/>
          <cell r="V92"/>
          <cell r="W92"/>
          <cell r="X92"/>
          <cell r="Y92" t="str">
            <v>Live</v>
          </cell>
          <cell r="Z92" t="str">
            <v>Bilateral</v>
          </cell>
        </row>
        <row r="93">
          <cell r="F93" t="str">
            <v>INDA4</v>
          </cell>
          <cell r="G93"/>
          <cell r="H93" t="str">
            <v>404</v>
          </cell>
          <cell r="I93" t="str">
            <v>94</v>
          </cell>
          <cell r="J93" t="str">
            <v>x</v>
          </cell>
          <cell r="K93" t="str">
            <v>YES</v>
          </cell>
          <cell r="L93" t="str">
            <v>YES</v>
          </cell>
          <cell r="M93" t="str">
            <v>YES</v>
          </cell>
          <cell r="N93" t="str">
            <v>YES</v>
          </cell>
          <cell r="O93" t="str">
            <v>YES</v>
          </cell>
          <cell r="P93" t="str">
            <v>Arrêté</v>
          </cell>
          <cell r="Q93" t="str">
            <v>YES</v>
          </cell>
          <cell r="R93" t="str">
            <v>Arrêté</v>
          </cell>
          <cell r="S93" t="str">
            <v>YES</v>
          </cell>
          <cell r="T93" t="str">
            <v>YES</v>
          </cell>
          <cell r="U93"/>
          <cell r="V93"/>
          <cell r="W93"/>
          <cell r="X93"/>
          <cell r="Y93" t="str">
            <v>Live</v>
          </cell>
          <cell r="Z93" t="str">
            <v>Bilateral</v>
          </cell>
        </row>
        <row r="94">
          <cell r="F94" t="str">
            <v>INDA7</v>
          </cell>
          <cell r="G94"/>
          <cell r="H94" t="str">
            <v>404</v>
          </cell>
          <cell r="I94" t="str">
            <v>95</v>
          </cell>
          <cell r="J94" t="str">
            <v>x</v>
          </cell>
          <cell r="K94" t="str">
            <v>YES</v>
          </cell>
          <cell r="L94" t="str">
            <v>YES</v>
          </cell>
          <cell r="M94" t="str">
            <v>YES</v>
          </cell>
          <cell r="N94" t="str">
            <v>YES</v>
          </cell>
          <cell r="O94" t="str">
            <v>YES</v>
          </cell>
          <cell r="P94" t="str">
            <v>Arrêté</v>
          </cell>
          <cell r="Q94" t="str">
            <v>YES</v>
          </cell>
          <cell r="R94" t="str">
            <v>Arrêté</v>
          </cell>
          <cell r="S94" t="str">
            <v>YES</v>
          </cell>
          <cell r="T94" t="str">
            <v>YES</v>
          </cell>
          <cell r="U94"/>
          <cell r="V94"/>
          <cell r="W94"/>
          <cell r="X94"/>
          <cell r="Y94" t="str">
            <v>Live</v>
          </cell>
          <cell r="Z94" t="str">
            <v>Bilateral</v>
          </cell>
        </row>
        <row r="95">
          <cell r="F95" t="str">
            <v>INDA9</v>
          </cell>
          <cell r="G95"/>
          <cell r="H95" t="str">
            <v>404</v>
          </cell>
          <cell r="I95" t="str">
            <v>02</v>
          </cell>
          <cell r="J95" t="str">
            <v>x</v>
          </cell>
          <cell r="K95" t="str">
            <v>YES</v>
          </cell>
          <cell r="L95" t="str">
            <v>YES</v>
          </cell>
          <cell r="M95" t="str">
            <v>YES</v>
          </cell>
          <cell r="N95" t="str">
            <v>YES</v>
          </cell>
          <cell r="O95" t="str">
            <v>YES</v>
          </cell>
          <cell r="P95" t="str">
            <v>Arrêté</v>
          </cell>
          <cell r="Q95" t="str">
            <v>YES</v>
          </cell>
          <cell r="R95" t="str">
            <v>Arrêté</v>
          </cell>
          <cell r="S95" t="str">
            <v>YES</v>
          </cell>
          <cell r="T95" t="str">
            <v>YES</v>
          </cell>
          <cell r="U95"/>
          <cell r="V95"/>
          <cell r="W95"/>
          <cell r="X95"/>
          <cell r="Y95" t="str">
            <v>Live</v>
          </cell>
          <cell r="Z95" t="str">
            <v>Bilateral</v>
          </cell>
        </row>
        <row r="96">
          <cell r="F96" t="str">
            <v>INDJH</v>
          </cell>
          <cell r="G96"/>
          <cell r="H96" t="str">
            <v>404</v>
          </cell>
          <cell r="I96" t="str">
            <v>49</v>
          </cell>
          <cell r="J96" t="str">
            <v>x</v>
          </cell>
          <cell r="K96" t="str">
            <v>YES</v>
          </cell>
          <cell r="L96" t="str">
            <v>YES</v>
          </cell>
          <cell r="M96" t="str">
            <v>YES</v>
          </cell>
          <cell r="N96" t="str">
            <v>YES</v>
          </cell>
          <cell r="O96" t="str">
            <v>YES</v>
          </cell>
          <cell r="P96" t="str">
            <v>Arrêté</v>
          </cell>
          <cell r="Q96" t="str">
            <v>YES</v>
          </cell>
          <cell r="R96" t="str">
            <v>Arrêté</v>
          </cell>
          <cell r="S96" t="str">
            <v>YES</v>
          </cell>
          <cell r="T96" t="str">
            <v>YES</v>
          </cell>
          <cell r="U96"/>
          <cell r="V96"/>
          <cell r="W96"/>
          <cell r="X96"/>
          <cell r="Y96" t="str">
            <v>Live</v>
          </cell>
          <cell r="Z96" t="str">
            <v>Bilateral</v>
          </cell>
        </row>
        <row r="97">
          <cell r="F97" t="str">
            <v>INDJB</v>
          </cell>
          <cell r="G97"/>
          <cell r="H97" t="str">
            <v>404</v>
          </cell>
          <cell r="I97" t="str">
            <v>45</v>
          </cell>
          <cell r="J97" t="str">
            <v>x</v>
          </cell>
          <cell r="K97" t="str">
            <v>YES</v>
          </cell>
          <cell r="L97" t="str">
            <v>YES</v>
          </cell>
          <cell r="M97" t="str">
            <v>YES</v>
          </cell>
          <cell r="N97" t="str">
            <v>YES</v>
          </cell>
          <cell r="O97" t="str">
            <v>YES</v>
          </cell>
          <cell r="P97" t="str">
            <v>Arrêté</v>
          </cell>
          <cell r="Q97" t="str">
            <v>YES</v>
          </cell>
          <cell r="R97" t="str">
            <v>Arrêté</v>
          </cell>
          <cell r="S97" t="str">
            <v>YES</v>
          </cell>
          <cell r="T97" t="str">
            <v>YES</v>
          </cell>
          <cell r="U97"/>
          <cell r="V97"/>
          <cell r="W97"/>
          <cell r="X97"/>
          <cell r="Y97" t="str">
            <v>Live</v>
          </cell>
          <cell r="Z97" t="str">
            <v>Bilateral</v>
          </cell>
        </row>
        <row r="98">
          <cell r="F98" t="str">
            <v>INDSC</v>
          </cell>
          <cell r="G98"/>
          <cell r="H98" t="str">
            <v>404</v>
          </cell>
          <cell r="I98" t="str">
            <v>40</v>
          </cell>
          <cell r="J98" t="str">
            <v>x</v>
          </cell>
          <cell r="K98" t="str">
            <v>YES</v>
          </cell>
          <cell r="L98" t="str">
            <v>YES</v>
          </cell>
          <cell r="M98" t="str">
            <v>YES</v>
          </cell>
          <cell r="N98" t="str">
            <v>YES</v>
          </cell>
          <cell r="O98" t="str">
            <v>YES</v>
          </cell>
          <cell r="P98" t="str">
            <v>Arrêté</v>
          </cell>
          <cell r="Q98" t="str">
            <v>YES</v>
          </cell>
          <cell r="R98" t="str">
            <v>Arrêté</v>
          </cell>
          <cell r="S98" t="str">
            <v>YES</v>
          </cell>
          <cell r="T98" t="str">
            <v>YES</v>
          </cell>
          <cell r="U98"/>
          <cell r="V98"/>
          <cell r="W98"/>
          <cell r="X98"/>
          <cell r="Y98" t="str">
            <v>Live</v>
          </cell>
          <cell r="Z98" t="str">
            <v>Bilateral</v>
          </cell>
        </row>
        <row r="99">
          <cell r="F99" t="str">
            <v>INDMT</v>
          </cell>
          <cell r="G99"/>
          <cell r="H99" t="str">
            <v>404</v>
          </cell>
          <cell r="I99" t="str">
            <v>31</v>
          </cell>
          <cell r="J99" t="str">
            <v>x</v>
          </cell>
          <cell r="K99" t="str">
            <v>YES</v>
          </cell>
          <cell r="L99" t="str">
            <v>YES</v>
          </cell>
          <cell r="M99" t="str">
            <v>YES</v>
          </cell>
          <cell r="N99" t="str">
            <v>YES</v>
          </cell>
          <cell r="O99" t="str">
            <v>YES</v>
          </cell>
          <cell r="P99" t="str">
            <v>Arrêté</v>
          </cell>
          <cell r="Q99" t="str">
            <v>YES</v>
          </cell>
          <cell r="R99" t="str">
            <v>Arrêté</v>
          </cell>
          <cell r="S99" t="str">
            <v>YES</v>
          </cell>
          <cell r="T99" t="str">
            <v>YES</v>
          </cell>
          <cell r="U99"/>
          <cell r="V99"/>
          <cell r="W99"/>
          <cell r="X99"/>
          <cell r="Y99" t="str">
            <v>Live</v>
          </cell>
          <cell r="Z99" t="str">
            <v>Bilateral</v>
          </cell>
        </row>
        <row r="100">
          <cell r="F100" t="str">
            <v>IND10</v>
          </cell>
          <cell r="G100"/>
          <cell r="H100" t="str">
            <v>405</v>
          </cell>
          <cell r="I100" t="str">
            <v>54</v>
          </cell>
          <cell r="J100" t="str">
            <v>x</v>
          </cell>
          <cell r="K100" t="str">
            <v>YES</v>
          </cell>
          <cell r="L100" t="str">
            <v>YES</v>
          </cell>
          <cell r="M100" t="str">
            <v>YES</v>
          </cell>
          <cell r="N100" t="str">
            <v>YES</v>
          </cell>
          <cell r="O100" t="str">
            <v>YES</v>
          </cell>
          <cell r="P100" t="str">
            <v>Arrêté</v>
          </cell>
          <cell r="Q100" t="str">
            <v>YES</v>
          </cell>
          <cell r="R100" t="str">
            <v>Arrêté</v>
          </cell>
          <cell r="S100" t="str">
            <v>YES</v>
          </cell>
          <cell r="T100" t="str">
            <v>YES</v>
          </cell>
          <cell r="U100"/>
          <cell r="V100"/>
          <cell r="W100"/>
          <cell r="X100"/>
          <cell r="Y100" t="str">
            <v>Live</v>
          </cell>
          <cell r="Z100" t="str">
            <v>Bilateral</v>
          </cell>
        </row>
        <row r="101">
          <cell r="F101" t="str">
            <v>IND11</v>
          </cell>
          <cell r="G101"/>
          <cell r="H101" t="str">
            <v>405</v>
          </cell>
          <cell r="I101" t="str">
            <v>53</v>
          </cell>
          <cell r="J101" t="str">
            <v>x</v>
          </cell>
          <cell r="K101" t="str">
            <v>YES</v>
          </cell>
          <cell r="L101" t="str">
            <v>YES</v>
          </cell>
          <cell r="M101" t="str">
            <v>YES</v>
          </cell>
          <cell r="N101" t="str">
            <v>YES</v>
          </cell>
          <cell r="O101" t="str">
            <v>YES</v>
          </cell>
          <cell r="P101" t="str">
            <v>Arrêté</v>
          </cell>
          <cell r="Q101" t="str">
            <v>YES</v>
          </cell>
          <cell r="R101" t="str">
            <v>Arrêté</v>
          </cell>
          <cell r="S101" t="str">
            <v>YES</v>
          </cell>
          <cell r="T101" t="str">
            <v>YES</v>
          </cell>
          <cell r="U101"/>
          <cell r="V101"/>
          <cell r="W101"/>
          <cell r="X101"/>
          <cell r="Y101" t="str">
            <v>Live</v>
          </cell>
          <cell r="Z101" t="str">
            <v>Bilateral</v>
          </cell>
        </row>
        <row r="102">
          <cell r="F102" t="str">
            <v>IND12</v>
          </cell>
          <cell r="G102"/>
          <cell r="H102" t="str">
            <v>405</v>
          </cell>
          <cell r="I102" t="str">
            <v>52</v>
          </cell>
          <cell r="J102" t="str">
            <v>x</v>
          </cell>
          <cell r="K102" t="str">
            <v>YES</v>
          </cell>
          <cell r="L102" t="str">
            <v>YES</v>
          </cell>
          <cell r="M102" t="str">
            <v>YES</v>
          </cell>
          <cell r="N102" t="str">
            <v>YES</v>
          </cell>
          <cell r="O102" t="str">
            <v>YES</v>
          </cell>
          <cell r="P102" t="str">
            <v>Arrêté</v>
          </cell>
          <cell r="Q102" t="str">
            <v>YES</v>
          </cell>
          <cell r="R102" t="str">
            <v>Arrêté</v>
          </cell>
          <cell r="S102" t="str">
            <v>YES</v>
          </cell>
          <cell r="T102" t="str">
            <v>YES</v>
          </cell>
          <cell r="U102"/>
          <cell r="V102"/>
          <cell r="W102"/>
          <cell r="X102"/>
          <cell r="Y102" t="str">
            <v>Live</v>
          </cell>
          <cell r="Z102" t="str">
            <v>Bilateral</v>
          </cell>
        </row>
        <row r="103">
          <cell r="F103" t="str">
            <v>IND14</v>
          </cell>
          <cell r="G103"/>
          <cell r="H103" t="str">
            <v>405</v>
          </cell>
          <cell r="I103" t="str">
            <v>51</v>
          </cell>
          <cell r="J103" t="str">
            <v>x</v>
          </cell>
          <cell r="K103" t="str">
            <v>YES</v>
          </cell>
          <cell r="L103" t="str">
            <v>YES</v>
          </cell>
          <cell r="M103" t="str">
            <v>YES</v>
          </cell>
          <cell r="N103" t="str">
            <v>YES</v>
          </cell>
          <cell r="O103" t="str">
            <v>YES</v>
          </cell>
          <cell r="P103" t="str">
            <v>Arrêté</v>
          </cell>
          <cell r="Q103" t="str">
            <v>YES</v>
          </cell>
          <cell r="R103" t="str">
            <v>Arrêté</v>
          </cell>
          <cell r="S103" t="str">
            <v>YES</v>
          </cell>
          <cell r="T103" t="str">
            <v>YES</v>
          </cell>
          <cell r="U103"/>
          <cell r="V103"/>
          <cell r="W103"/>
          <cell r="X103"/>
          <cell r="Y103" t="str">
            <v>Live</v>
          </cell>
          <cell r="Z103" t="str">
            <v>Bilateral</v>
          </cell>
        </row>
        <row r="104">
          <cell r="F104" t="str">
            <v>IND16</v>
          </cell>
          <cell r="G104"/>
          <cell r="H104" t="str">
            <v>404</v>
          </cell>
          <cell r="I104" t="str">
            <v>16</v>
          </cell>
          <cell r="J104" t="str">
            <v>x</v>
          </cell>
          <cell r="K104" t="str">
            <v>YES</v>
          </cell>
          <cell r="L104" t="str">
            <v>YES</v>
          </cell>
          <cell r="M104" t="str">
            <v>N.A</v>
          </cell>
          <cell r="N104" t="str">
            <v>N.A</v>
          </cell>
          <cell r="O104" t="str">
            <v>YES</v>
          </cell>
          <cell r="P104" t="str">
            <v>N.A</v>
          </cell>
          <cell r="Q104" t="str">
            <v>YES</v>
          </cell>
          <cell r="R104" t="str">
            <v>N.A</v>
          </cell>
          <cell r="S104" t="str">
            <v>YES</v>
          </cell>
          <cell r="T104" t="str">
            <v>N.A</v>
          </cell>
          <cell r="U104"/>
          <cell r="V104"/>
          <cell r="W104"/>
          <cell r="X104"/>
          <cell r="Y104" t="str">
            <v>Live</v>
          </cell>
          <cell r="Z104" t="str">
            <v>Bilateral</v>
          </cell>
        </row>
        <row r="105">
          <cell r="F105" t="str">
            <v>IND15</v>
          </cell>
          <cell r="G105"/>
          <cell r="H105" t="str">
            <v>405</v>
          </cell>
          <cell r="I105" t="str">
            <v>56</v>
          </cell>
          <cell r="J105" t="str">
            <v>x</v>
          </cell>
          <cell r="K105" t="str">
            <v>YES</v>
          </cell>
          <cell r="L105" t="str">
            <v>YES</v>
          </cell>
          <cell r="M105" t="str">
            <v>N.A</v>
          </cell>
          <cell r="N105" t="str">
            <v>N.A</v>
          </cell>
          <cell r="O105" t="str">
            <v>YES</v>
          </cell>
          <cell r="P105" t="str">
            <v>N.A</v>
          </cell>
          <cell r="Q105" t="str">
            <v>YES</v>
          </cell>
          <cell r="R105" t="str">
            <v>N.A</v>
          </cell>
          <cell r="S105" t="str">
            <v>YES</v>
          </cell>
          <cell r="T105" t="str">
            <v>N.A</v>
          </cell>
          <cell r="U105"/>
          <cell r="V105"/>
          <cell r="W105"/>
          <cell r="X105"/>
          <cell r="Y105" t="str">
            <v>Live</v>
          </cell>
          <cell r="Z105" t="str">
            <v>Bilateral</v>
          </cell>
        </row>
        <row r="106">
          <cell r="F106" t="str">
            <v>IND13</v>
          </cell>
          <cell r="G106"/>
          <cell r="H106" t="str">
            <v>405</v>
          </cell>
          <cell r="I106" t="str">
            <v>55</v>
          </cell>
          <cell r="J106" t="str">
            <v>x</v>
          </cell>
          <cell r="K106" t="str">
            <v>YES</v>
          </cell>
          <cell r="L106" t="str">
            <v>YES</v>
          </cell>
          <cell r="M106" t="str">
            <v>N.A</v>
          </cell>
          <cell r="N106" t="str">
            <v>N.A</v>
          </cell>
          <cell r="O106" t="str">
            <v>YES</v>
          </cell>
          <cell r="P106" t="str">
            <v>N.A</v>
          </cell>
          <cell r="Q106" t="str">
            <v>YES</v>
          </cell>
          <cell r="R106" t="str">
            <v>N.A</v>
          </cell>
          <cell r="S106" t="str">
            <v>YES</v>
          </cell>
          <cell r="T106" t="str">
            <v>N.A</v>
          </cell>
          <cell r="U106"/>
          <cell r="V106"/>
          <cell r="W106"/>
          <cell r="X106"/>
          <cell r="Y106" t="str">
            <v>Live</v>
          </cell>
          <cell r="Z106" t="str">
            <v>Bilateral</v>
          </cell>
        </row>
        <row r="107">
          <cell r="F107" t="str">
            <v>LKAAT</v>
          </cell>
          <cell r="G107" t="str">
            <v>LKAFT</v>
          </cell>
          <cell r="H107" t="str">
            <v>413</v>
          </cell>
          <cell r="I107" t="str">
            <v>05</v>
          </cell>
          <cell r="J107"/>
          <cell r="K107" t="str">
            <v>YES</v>
          </cell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 t="str">
            <v>Live</v>
          </cell>
          <cell r="Z107" t="str">
            <v>Orange Hub</v>
          </cell>
        </row>
        <row r="108">
          <cell r="F108" t="str">
            <v>BTNBM</v>
          </cell>
          <cell r="G108" t="str">
            <v>BTNK9</v>
          </cell>
          <cell r="H108" t="str">
            <v>402</v>
          </cell>
          <cell r="I108" t="str">
            <v>11</v>
          </cell>
          <cell r="J108" t="str">
            <v>x</v>
          </cell>
          <cell r="K108" t="str">
            <v>YES</v>
          </cell>
          <cell r="L108" t="str">
            <v>YES</v>
          </cell>
          <cell r="M108"/>
          <cell r="N108" t="str">
            <v>YES</v>
          </cell>
          <cell r="O108" t="str">
            <v>YES</v>
          </cell>
          <cell r="P108" t="str">
            <v>YES</v>
          </cell>
          <cell r="Q108" t="str">
            <v>YES</v>
          </cell>
          <cell r="R108" t="str">
            <v>YES</v>
          </cell>
          <cell r="S108" t="str">
            <v>YES</v>
          </cell>
          <cell r="T108" t="str">
            <v>YES</v>
          </cell>
          <cell r="U108"/>
          <cell r="V108"/>
          <cell r="W108"/>
          <cell r="X108"/>
          <cell r="Y108" t="str">
            <v>Live</v>
          </cell>
          <cell r="Z108" t="str">
            <v>Comfone</v>
          </cell>
        </row>
        <row r="109">
          <cell r="F109" t="str">
            <v>ASMAS</v>
          </cell>
          <cell r="G109" t="str">
            <v>ASMK9</v>
          </cell>
          <cell r="H109" t="str">
            <v>544</v>
          </cell>
          <cell r="I109" t="str">
            <v>110</v>
          </cell>
          <cell r="J109" t="str">
            <v>x</v>
          </cell>
          <cell r="K109" t="str">
            <v>YES</v>
          </cell>
          <cell r="L109" t="str">
            <v>YES</v>
          </cell>
          <cell r="M109"/>
          <cell r="N109"/>
          <cell r="O109" t="str">
            <v>YES</v>
          </cell>
          <cell r="P109" t="str">
            <v>YES</v>
          </cell>
          <cell r="Q109" t="str">
            <v>YES</v>
          </cell>
          <cell r="R109" t="str">
            <v>YES</v>
          </cell>
          <cell r="S109" t="str">
            <v>YES</v>
          </cell>
          <cell r="T109" t="str">
            <v>YES</v>
          </cell>
          <cell r="U109"/>
          <cell r="V109"/>
          <cell r="W109"/>
          <cell r="X109"/>
          <cell r="Y109" t="str">
            <v>Live</v>
          </cell>
          <cell r="Z109" t="str">
            <v>Comfone</v>
          </cell>
        </row>
        <row r="110">
          <cell r="F110" t="str">
            <v>WSMGS</v>
          </cell>
          <cell r="G110" t="str">
            <v>WSMK9</v>
          </cell>
          <cell r="H110" t="str">
            <v>549</v>
          </cell>
          <cell r="I110" t="str">
            <v>27</v>
          </cell>
          <cell r="J110" t="str">
            <v>x</v>
          </cell>
          <cell r="K110"/>
          <cell r="L110" t="str">
            <v>YES</v>
          </cell>
          <cell r="M110"/>
          <cell r="N110"/>
          <cell r="O110"/>
          <cell r="P110" t="str">
            <v>YES</v>
          </cell>
          <cell r="Q110"/>
          <cell r="R110" t="str">
            <v>YES</v>
          </cell>
          <cell r="S110"/>
          <cell r="T110"/>
          <cell r="U110"/>
          <cell r="V110"/>
          <cell r="W110"/>
          <cell r="X110"/>
          <cell r="Y110" t="str">
            <v>Live</v>
          </cell>
          <cell r="Z110" t="str">
            <v>Comfone</v>
          </cell>
        </row>
        <row r="111">
          <cell r="F111" t="str">
            <v>BWABC</v>
          </cell>
          <cell r="G111" t="str">
            <v>BWAK8</v>
          </cell>
          <cell r="H111" t="str">
            <v>652</v>
          </cell>
          <cell r="I111" t="str">
            <v>04</v>
          </cell>
          <cell r="J111" t="str">
            <v>x</v>
          </cell>
          <cell r="K111" t="str">
            <v>YES</v>
          </cell>
          <cell r="L111" t="str">
            <v>YES</v>
          </cell>
          <cell r="M111" t="str">
            <v>YES</v>
          </cell>
          <cell r="N111" t="str">
            <v>YES</v>
          </cell>
          <cell r="O111" t="str">
            <v>YES</v>
          </cell>
          <cell r="P111" t="str">
            <v>YES</v>
          </cell>
          <cell r="Q111" t="str">
            <v>YES</v>
          </cell>
          <cell r="R111" t="str">
            <v>YES</v>
          </cell>
          <cell r="S111" t="str">
            <v>YES</v>
          </cell>
          <cell r="T111" t="str">
            <v>YES</v>
          </cell>
          <cell r="U111"/>
          <cell r="V111"/>
          <cell r="W111"/>
          <cell r="X111"/>
          <cell r="Y111" t="str">
            <v>Live</v>
          </cell>
          <cell r="Z111" t="str">
            <v>Comfone</v>
          </cell>
        </row>
        <row r="112">
          <cell r="F112" t="str">
            <v>FRAF3</v>
          </cell>
          <cell r="G112"/>
          <cell r="H112" t="str">
            <v>208</v>
          </cell>
          <cell r="I112" t="str">
            <v>20</v>
          </cell>
          <cell r="J112" t="str">
            <v>x</v>
          </cell>
          <cell r="K112" t="str">
            <v>YES</v>
          </cell>
          <cell r="L112" t="str">
            <v>YES</v>
          </cell>
          <cell r="M112" t="str">
            <v>YES</v>
          </cell>
          <cell r="N112" t="str">
            <v>YES</v>
          </cell>
          <cell r="O112" t="str">
            <v>YES</v>
          </cell>
          <cell r="P112" t="str">
            <v>YES</v>
          </cell>
          <cell r="Q112" t="str">
            <v>YES</v>
          </cell>
          <cell r="R112" t="str">
            <v>YES</v>
          </cell>
          <cell r="S112" t="str">
            <v>YES</v>
          </cell>
          <cell r="T112" t="str">
            <v>YES</v>
          </cell>
          <cell r="U112"/>
          <cell r="V112"/>
          <cell r="W112"/>
          <cell r="X112"/>
          <cell r="Y112" t="str">
            <v>Live</v>
          </cell>
          <cell r="Z112" t="str">
            <v>Bilateral</v>
          </cell>
        </row>
        <row r="113">
          <cell r="F113" t="str">
            <v>INDWB</v>
          </cell>
          <cell r="G113"/>
          <cell r="H113" t="str">
            <v>404</v>
          </cell>
          <cell r="I113" t="str">
            <v>74</v>
          </cell>
          <cell r="J113" t="str">
            <v>x</v>
          </cell>
          <cell r="K113" t="str">
            <v>YES</v>
          </cell>
          <cell r="L113" t="str">
            <v>YES</v>
          </cell>
          <cell r="M113" t="str">
            <v>YES</v>
          </cell>
          <cell r="N113" t="str">
            <v>YES</v>
          </cell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 t="str">
            <v>Live</v>
          </cell>
          <cell r="Z113" t="str">
            <v>Bilateral</v>
          </cell>
        </row>
        <row r="114">
          <cell r="F114" t="str">
            <v>BHSBH</v>
          </cell>
          <cell r="G114" t="str">
            <v>BHSFT</v>
          </cell>
          <cell r="H114" t="str">
            <v>364</v>
          </cell>
          <cell r="I114" t="str">
            <v>39</v>
          </cell>
          <cell r="J114" t="str">
            <v>x</v>
          </cell>
          <cell r="K114" t="str">
            <v>YES</v>
          </cell>
          <cell r="L114" t="str">
            <v>YES</v>
          </cell>
          <cell r="M114"/>
          <cell r="N114"/>
          <cell r="O114" t="str">
            <v>YES</v>
          </cell>
          <cell r="P114" t="str">
            <v>YES</v>
          </cell>
          <cell r="Q114" t="str">
            <v>YES</v>
          </cell>
          <cell r="R114" t="str">
            <v>YES</v>
          </cell>
          <cell r="S114"/>
          <cell r="T114"/>
          <cell r="U114"/>
          <cell r="V114"/>
          <cell r="W114"/>
          <cell r="X114"/>
          <cell r="Y114" t="str">
            <v>Live</v>
          </cell>
          <cell r="Z114" t="str">
            <v>Orange Hub</v>
          </cell>
        </row>
        <row r="115">
          <cell r="F115" t="str">
            <v>AIACW</v>
          </cell>
          <cell r="G115" t="str">
            <v>AIAFT</v>
          </cell>
          <cell r="H115" t="str">
            <v>365</v>
          </cell>
          <cell r="I115" t="str">
            <v>840</v>
          </cell>
          <cell r="J115" t="str">
            <v>x</v>
          </cell>
          <cell r="K115" t="str">
            <v>YES</v>
          </cell>
          <cell r="L115" t="str">
            <v>YES</v>
          </cell>
          <cell r="M115" t="str">
            <v>N.A</v>
          </cell>
          <cell r="N115" t="str">
            <v>YES</v>
          </cell>
          <cell r="O115" t="str">
            <v>YES</v>
          </cell>
          <cell r="P115" t="str">
            <v>YES</v>
          </cell>
          <cell r="Q115" t="str">
            <v>YES</v>
          </cell>
          <cell r="R115" t="str">
            <v>YES</v>
          </cell>
          <cell r="S115" t="str">
            <v>YES</v>
          </cell>
          <cell r="T115" t="str">
            <v>YES</v>
          </cell>
          <cell r="U115"/>
          <cell r="V115"/>
          <cell r="W115"/>
          <cell r="X115"/>
          <cell r="Y115" t="str">
            <v>Live</v>
          </cell>
          <cell r="Z115" t="str">
            <v>Orange Hub</v>
          </cell>
        </row>
        <row r="116">
          <cell r="F116" t="str">
            <v>BRBCW</v>
          </cell>
          <cell r="G116" t="str">
            <v>BRBFT</v>
          </cell>
          <cell r="H116" t="str">
            <v>342</v>
          </cell>
          <cell r="I116" t="str">
            <v>600</v>
          </cell>
          <cell r="J116" t="str">
            <v>x</v>
          </cell>
          <cell r="K116" t="str">
            <v>YES</v>
          </cell>
          <cell r="L116" t="str">
            <v>YES</v>
          </cell>
          <cell r="M116" t="str">
            <v>N.A</v>
          </cell>
          <cell r="N116" t="str">
            <v>YES</v>
          </cell>
          <cell r="O116" t="str">
            <v>YES</v>
          </cell>
          <cell r="P116" t="str">
            <v>YES</v>
          </cell>
          <cell r="Q116" t="str">
            <v>YES</v>
          </cell>
          <cell r="R116" t="str">
            <v>YES</v>
          </cell>
          <cell r="S116" t="str">
            <v>YES</v>
          </cell>
          <cell r="T116" t="str">
            <v>YES</v>
          </cell>
          <cell r="U116"/>
          <cell r="V116"/>
          <cell r="W116"/>
          <cell r="X116"/>
          <cell r="Y116" t="str">
            <v>Live</v>
          </cell>
          <cell r="Z116" t="str">
            <v>Orange Hub</v>
          </cell>
        </row>
        <row r="117">
          <cell r="F117" t="str">
            <v>ATGCW</v>
          </cell>
          <cell r="G117" t="str">
            <v>ATGFT</v>
          </cell>
          <cell r="H117" t="str">
            <v>344</v>
          </cell>
          <cell r="I117" t="str">
            <v>920</v>
          </cell>
          <cell r="J117" t="str">
            <v>x</v>
          </cell>
          <cell r="K117" t="str">
            <v>YES</v>
          </cell>
          <cell r="L117" t="str">
            <v>YES</v>
          </cell>
          <cell r="M117" t="str">
            <v>N.A</v>
          </cell>
          <cell r="N117" t="str">
            <v>YES</v>
          </cell>
          <cell r="O117" t="str">
            <v>YES</v>
          </cell>
          <cell r="P117" t="str">
            <v>YES</v>
          </cell>
          <cell r="Q117" t="str">
            <v>YES</v>
          </cell>
          <cell r="R117" t="str">
            <v>YES</v>
          </cell>
          <cell r="S117" t="str">
            <v>YES</v>
          </cell>
          <cell r="T117" t="str">
            <v>YES</v>
          </cell>
          <cell r="U117"/>
          <cell r="V117"/>
          <cell r="W117"/>
          <cell r="X117"/>
          <cell r="Y117" t="str">
            <v>Live</v>
          </cell>
          <cell r="Z117" t="str">
            <v>Orange Hub</v>
          </cell>
        </row>
        <row r="118">
          <cell r="F118" t="str">
            <v>CYMCW</v>
          </cell>
          <cell r="G118" t="str">
            <v>CYMFT</v>
          </cell>
          <cell r="H118" t="str">
            <v>346</v>
          </cell>
          <cell r="I118" t="str">
            <v>140</v>
          </cell>
          <cell r="J118" t="str">
            <v>x</v>
          </cell>
          <cell r="K118" t="str">
            <v>YES</v>
          </cell>
          <cell r="L118" t="str">
            <v>YES</v>
          </cell>
          <cell r="M118" t="str">
            <v>N.A</v>
          </cell>
          <cell r="N118" t="str">
            <v>YES</v>
          </cell>
          <cell r="O118" t="str">
            <v>YES</v>
          </cell>
          <cell r="P118" t="str">
            <v>YES</v>
          </cell>
          <cell r="Q118" t="str">
            <v>YES</v>
          </cell>
          <cell r="R118" t="str">
            <v>YES</v>
          </cell>
          <cell r="S118" t="str">
            <v>YES</v>
          </cell>
          <cell r="T118" t="str">
            <v>YES</v>
          </cell>
          <cell r="U118"/>
          <cell r="V118"/>
          <cell r="W118"/>
          <cell r="X118"/>
          <cell r="Y118" t="str">
            <v>Live</v>
          </cell>
          <cell r="Z118" t="str">
            <v>Orange Hub</v>
          </cell>
        </row>
        <row r="119">
          <cell r="F119" t="str">
            <v>DMACW</v>
          </cell>
          <cell r="G119" t="str">
            <v>DMAFT</v>
          </cell>
          <cell r="H119" t="str">
            <v>366</v>
          </cell>
          <cell r="I119" t="str">
            <v>110</v>
          </cell>
          <cell r="J119" t="str">
            <v>x</v>
          </cell>
          <cell r="K119" t="str">
            <v>YES</v>
          </cell>
          <cell r="L119" t="str">
            <v>YES</v>
          </cell>
          <cell r="M119" t="str">
            <v>N.A</v>
          </cell>
          <cell r="N119" t="str">
            <v>YES</v>
          </cell>
          <cell r="O119" t="str">
            <v>YES</v>
          </cell>
          <cell r="P119" t="str">
            <v>YES</v>
          </cell>
          <cell r="Q119" t="str">
            <v>YES</v>
          </cell>
          <cell r="R119" t="str">
            <v>YES</v>
          </cell>
          <cell r="S119" t="str">
            <v>YES</v>
          </cell>
          <cell r="T119" t="str">
            <v>YES</v>
          </cell>
          <cell r="U119"/>
          <cell r="V119"/>
          <cell r="W119"/>
          <cell r="X119"/>
          <cell r="Y119" t="str">
            <v>Live</v>
          </cell>
          <cell r="Z119" t="str">
            <v>Orange Hub</v>
          </cell>
        </row>
        <row r="120">
          <cell r="F120" t="str">
            <v>GRDCW</v>
          </cell>
          <cell r="G120" t="str">
            <v>GRDFT</v>
          </cell>
          <cell r="H120" t="str">
            <v>352</v>
          </cell>
          <cell r="I120" t="str">
            <v>110</v>
          </cell>
          <cell r="J120" t="str">
            <v>x</v>
          </cell>
          <cell r="K120" t="str">
            <v>YES</v>
          </cell>
          <cell r="L120" t="str">
            <v>YES</v>
          </cell>
          <cell r="M120" t="str">
            <v>N.A</v>
          </cell>
          <cell r="N120" t="str">
            <v>YES</v>
          </cell>
          <cell r="O120" t="str">
            <v>YES</v>
          </cell>
          <cell r="P120" t="str">
            <v>Arrêté</v>
          </cell>
          <cell r="Q120" t="str">
            <v>YES</v>
          </cell>
          <cell r="R120" t="str">
            <v>Arrêté</v>
          </cell>
          <cell r="S120" t="str">
            <v>YES</v>
          </cell>
          <cell r="T120" t="str">
            <v>YES</v>
          </cell>
          <cell r="U120"/>
          <cell r="V120"/>
          <cell r="W120"/>
          <cell r="X120"/>
          <cell r="Y120" t="str">
            <v>Live</v>
          </cell>
          <cell r="Z120" t="str">
            <v>Orange Hub</v>
          </cell>
        </row>
        <row r="121">
          <cell r="F121" t="str">
            <v>JAMCW</v>
          </cell>
          <cell r="G121" t="str">
            <v>JAMFT</v>
          </cell>
          <cell r="H121" t="str">
            <v>338</v>
          </cell>
          <cell r="I121" t="str">
            <v>180</v>
          </cell>
          <cell r="J121" t="str">
            <v>x</v>
          </cell>
          <cell r="K121" t="str">
            <v>YES</v>
          </cell>
          <cell r="L121" t="str">
            <v>YES</v>
          </cell>
          <cell r="M121" t="str">
            <v>N.A</v>
          </cell>
          <cell r="N121" t="str">
            <v>YES</v>
          </cell>
          <cell r="O121" t="str">
            <v>YES</v>
          </cell>
          <cell r="P121" t="str">
            <v>YES</v>
          </cell>
          <cell r="Q121" t="str">
            <v>YES</v>
          </cell>
          <cell r="R121" t="str">
            <v>Arrêté</v>
          </cell>
          <cell r="S121" t="str">
            <v>YES</v>
          </cell>
          <cell r="T121" t="str">
            <v>YES</v>
          </cell>
          <cell r="U121"/>
          <cell r="V121"/>
          <cell r="W121"/>
          <cell r="X121"/>
          <cell r="Y121" t="str">
            <v>Live</v>
          </cell>
          <cell r="Z121" t="str">
            <v>Orange Hub</v>
          </cell>
        </row>
        <row r="122">
          <cell r="F122" t="str">
            <v>MSRCW</v>
          </cell>
          <cell r="G122" t="str">
            <v>MSRFT</v>
          </cell>
          <cell r="H122" t="str">
            <v>354</v>
          </cell>
          <cell r="I122" t="str">
            <v>860</v>
          </cell>
          <cell r="J122" t="str">
            <v>x</v>
          </cell>
          <cell r="K122" t="str">
            <v>YES</v>
          </cell>
          <cell r="L122" t="str">
            <v>YES</v>
          </cell>
          <cell r="M122" t="str">
            <v>N.A</v>
          </cell>
          <cell r="N122" t="str">
            <v>YES</v>
          </cell>
          <cell r="O122" t="str">
            <v>YES</v>
          </cell>
          <cell r="P122" t="str">
            <v>YES</v>
          </cell>
          <cell r="Q122" t="str">
            <v>YES</v>
          </cell>
          <cell r="R122" t="str">
            <v>Arrêté</v>
          </cell>
          <cell r="S122" t="str">
            <v>YES</v>
          </cell>
          <cell r="T122" t="str">
            <v>N.A</v>
          </cell>
          <cell r="U122"/>
          <cell r="V122"/>
          <cell r="W122"/>
          <cell r="X122"/>
          <cell r="Y122" t="str">
            <v>Live</v>
          </cell>
          <cell r="Z122" t="str">
            <v>Orange Hub</v>
          </cell>
        </row>
        <row r="123">
          <cell r="F123" t="str">
            <v>PANCW</v>
          </cell>
          <cell r="G123" t="str">
            <v>PANFT</v>
          </cell>
          <cell r="H123" t="str">
            <v>714</v>
          </cell>
          <cell r="I123" t="str">
            <v>01</v>
          </cell>
          <cell r="J123" t="str">
            <v>x</v>
          </cell>
          <cell r="K123" t="str">
            <v>YES</v>
          </cell>
          <cell r="L123" t="str">
            <v>YES</v>
          </cell>
          <cell r="M123" t="str">
            <v>YES</v>
          </cell>
          <cell r="N123"/>
          <cell r="O123" t="str">
            <v>YES</v>
          </cell>
          <cell r="P123" t="str">
            <v>YES</v>
          </cell>
          <cell r="Q123" t="str">
            <v>YES</v>
          </cell>
          <cell r="R123" t="str">
            <v>Arrêté</v>
          </cell>
          <cell r="S123"/>
          <cell r="T123"/>
          <cell r="U123"/>
          <cell r="V123"/>
          <cell r="W123"/>
          <cell r="X123"/>
          <cell r="Y123" t="str">
            <v>Live</v>
          </cell>
          <cell r="Z123" t="str">
            <v>Orange Hub</v>
          </cell>
        </row>
        <row r="124">
          <cell r="F124" t="str">
            <v>KNACW</v>
          </cell>
          <cell r="G124" t="str">
            <v>KNAFT</v>
          </cell>
          <cell r="H124" t="str">
            <v>356</v>
          </cell>
          <cell r="I124" t="str">
            <v>110</v>
          </cell>
          <cell r="J124" t="str">
            <v>x</v>
          </cell>
          <cell r="K124" t="str">
            <v>YES</v>
          </cell>
          <cell r="L124" t="str">
            <v>YES</v>
          </cell>
          <cell r="M124" t="str">
            <v>N.A</v>
          </cell>
          <cell r="N124" t="str">
            <v>YES</v>
          </cell>
          <cell r="O124" t="str">
            <v>YES</v>
          </cell>
          <cell r="P124" t="str">
            <v>YES</v>
          </cell>
          <cell r="Q124" t="str">
            <v>YES</v>
          </cell>
          <cell r="R124" t="str">
            <v>Arrêté</v>
          </cell>
          <cell r="S124" t="str">
            <v>YES</v>
          </cell>
          <cell r="T124" t="str">
            <v>YES</v>
          </cell>
          <cell r="U124"/>
          <cell r="V124"/>
          <cell r="W124"/>
          <cell r="X124"/>
          <cell r="Y124" t="str">
            <v>Live</v>
          </cell>
          <cell r="Z124" t="str">
            <v>Orange Hub</v>
          </cell>
        </row>
        <row r="125">
          <cell r="F125" t="str">
            <v>LCACW</v>
          </cell>
          <cell r="G125" t="str">
            <v>LCAFT</v>
          </cell>
          <cell r="H125" t="str">
            <v>358</v>
          </cell>
          <cell r="I125" t="str">
            <v>110</v>
          </cell>
          <cell r="J125" t="str">
            <v>x</v>
          </cell>
          <cell r="K125" t="str">
            <v>YES</v>
          </cell>
          <cell r="L125" t="str">
            <v>YES</v>
          </cell>
          <cell r="M125" t="str">
            <v>N.A</v>
          </cell>
          <cell r="N125" t="str">
            <v>YES</v>
          </cell>
          <cell r="O125" t="str">
            <v>YES</v>
          </cell>
          <cell r="P125" t="str">
            <v>YES</v>
          </cell>
          <cell r="Q125" t="str">
            <v>YES</v>
          </cell>
          <cell r="R125" t="str">
            <v>Arrêté</v>
          </cell>
          <cell r="S125" t="str">
            <v>YES</v>
          </cell>
          <cell r="T125" t="str">
            <v>YES</v>
          </cell>
          <cell r="U125"/>
          <cell r="V125"/>
          <cell r="W125"/>
          <cell r="X125"/>
          <cell r="Y125" t="str">
            <v>Live</v>
          </cell>
          <cell r="Z125" t="str">
            <v>Orange Hub</v>
          </cell>
        </row>
        <row r="126">
          <cell r="F126" t="str">
            <v>VCTCW</v>
          </cell>
          <cell r="G126" t="str">
            <v>VCTFT</v>
          </cell>
          <cell r="H126" t="str">
            <v>360</v>
          </cell>
          <cell r="I126" t="str">
            <v>110</v>
          </cell>
          <cell r="J126" t="str">
            <v>x</v>
          </cell>
          <cell r="K126" t="str">
            <v>YES</v>
          </cell>
          <cell r="L126" t="str">
            <v>YES</v>
          </cell>
          <cell r="M126" t="str">
            <v>N.A</v>
          </cell>
          <cell r="N126" t="str">
            <v>YES</v>
          </cell>
          <cell r="O126" t="str">
            <v>YES</v>
          </cell>
          <cell r="P126" t="str">
            <v>Arrêté</v>
          </cell>
          <cell r="Q126" t="str">
            <v>YES</v>
          </cell>
          <cell r="R126" t="str">
            <v>Arrêté</v>
          </cell>
          <cell r="S126" t="str">
            <v>YES</v>
          </cell>
          <cell r="T126" t="str">
            <v>YES</v>
          </cell>
          <cell r="U126"/>
          <cell r="V126"/>
          <cell r="W126"/>
          <cell r="X126"/>
          <cell r="Y126" t="str">
            <v>Live</v>
          </cell>
          <cell r="Z126" t="str">
            <v>Orange Hub</v>
          </cell>
        </row>
        <row r="127">
          <cell r="F127" t="str">
            <v>SYCCW</v>
          </cell>
          <cell r="G127" t="str">
            <v>SYCK9</v>
          </cell>
          <cell r="H127" t="str">
            <v>633</v>
          </cell>
          <cell r="I127" t="str">
            <v>01</v>
          </cell>
          <cell r="J127" t="str">
            <v>x</v>
          </cell>
          <cell r="K127" t="str">
            <v>YES</v>
          </cell>
          <cell r="L127" t="str">
            <v>YES</v>
          </cell>
          <cell r="M127"/>
          <cell r="N127" t="str">
            <v>YES</v>
          </cell>
          <cell r="O127" t="str">
            <v>YES</v>
          </cell>
          <cell r="P127" t="str">
            <v>YES</v>
          </cell>
          <cell r="Q127" t="str">
            <v>YES</v>
          </cell>
          <cell r="R127" t="str">
            <v>Arrêté</v>
          </cell>
          <cell r="S127" t="str">
            <v>YES</v>
          </cell>
          <cell r="T127" t="str">
            <v>YES</v>
          </cell>
          <cell r="U127"/>
          <cell r="V127"/>
          <cell r="W127"/>
          <cell r="X127"/>
          <cell r="Y127" t="str">
            <v>Live</v>
          </cell>
          <cell r="Z127" t="str">
            <v>Comfone</v>
          </cell>
        </row>
        <row r="128">
          <cell r="F128" t="str">
            <v>TCACW</v>
          </cell>
          <cell r="G128" t="str">
            <v>TCAFT</v>
          </cell>
          <cell r="H128" t="str">
            <v>376</v>
          </cell>
          <cell r="I128" t="str">
            <v>350</v>
          </cell>
          <cell r="J128" t="str">
            <v>x</v>
          </cell>
          <cell r="K128" t="str">
            <v>YES</v>
          </cell>
          <cell r="L128" t="str">
            <v>YES</v>
          </cell>
          <cell r="M128"/>
          <cell r="N128" t="str">
            <v>YES</v>
          </cell>
          <cell r="O128" t="str">
            <v>YES</v>
          </cell>
          <cell r="P128" t="str">
            <v>YES</v>
          </cell>
          <cell r="Q128" t="str">
            <v>YES</v>
          </cell>
          <cell r="R128" t="str">
            <v>Arrêté</v>
          </cell>
          <cell r="S128" t="str">
            <v>YES</v>
          </cell>
          <cell r="T128" t="str">
            <v>YES</v>
          </cell>
          <cell r="U128"/>
          <cell r="V128"/>
          <cell r="W128"/>
          <cell r="X128"/>
          <cell r="Y128" t="str">
            <v>Live</v>
          </cell>
          <cell r="Z128" t="str">
            <v>Orange Hub</v>
          </cell>
        </row>
        <row r="129">
          <cell r="F129" t="str">
            <v>VGBCW</v>
          </cell>
          <cell r="G129" t="str">
            <v>VGBFT</v>
          </cell>
          <cell r="H129" t="str">
            <v>348</v>
          </cell>
          <cell r="I129" t="str">
            <v>170</v>
          </cell>
          <cell r="J129" t="str">
            <v>x</v>
          </cell>
          <cell r="K129" t="str">
            <v>YES</v>
          </cell>
          <cell r="L129" t="str">
            <v>YES</v>
          </cell>
          <cell r="M129"/>
          <cell r="N129" t="str">
            <v>YES</v>
          </cell>
          <cell r="O129" t="str">
            <v>YES</v>
          </cell>
          <cell r="P129" t="str">
            <v>YES</v>
          </cell>
          <cell r="Q129" t="str">
            <v>YES</v>
          </cell>
          <cell r="R129" t="str">
            <v>Arrêté</v>
          </cell>
          <cell r="S129" t="str">
            <v>YES</v>
          </cell>
          <cell r="T129" t="str">
            <v>YES</v>
          </cell>
          <cell r="U129"/>
          <cell r="V129"/>
          <cell r="W129"/>
          <cell r="X129"/>
          <cell r="Y129" t="str">
            <v>Live</v>
          </cell>
          <cell r="Z129" t="str">
            <v>Orange Hub</v>
          </cell>
        </row>
        <row r="130">
          <cell r="F130" t="str">
            <v>KHMGM</v>
          </cell>
          <cell r="G130" t="str">
            <v>KHMK2</v>
          </cell>
          <cell r="H130" t="str">
            <v>456</v>
          </cell>
          <cell r="I130" t="str">
            <v>01</v>
          </cell>
          <cell r="J130" t="str">
            <v>x</v>
          </cell>
          <cell r="K130" t="str">
            <v>YES</v>
          </cell>
          <cell r="L130" t="str">
            <v>YES</v>
          </cell>
          <cell r="M130" t="str">
            <v>YES</v>
          </cell>
          <cell r="N130" t="str">
            <v>YES</v>
          </cell>
          <cell r="O130" t="str">
            <v>YES</v>
          </cell>
          <cell r="P130" t="str">
            <v>YES</v>
          </cell>
          <cell r="Q130" t="str">
            <v>YES</v>
          </cell>
          <cell r="R130" t="str">
            <v>Arrêté</v>
          </cell>
          <cell r="S130" t="str">
            <v>YES</v>
          </cell>
          <cell r="T130" t="str">
            <v>YES</v>
          </cell>
          <cell r="U130"/>
          <cell r="V130"/>
          <cell r="W130"/>
          <cell r="X130"/>
          <cell r="Y130" t="str">
            <v>Live</v>
          </cell>
          <cell r="Z130" t="str">
            <v>Comfone</v>
          </cell>
        </row>
        <row r="131">
          <cell r="F131" t="str">
            <v>VGBCC</v>
          </cell>
          <cell r="G131"/>
          <cell r="H131" t="str">
            <v>348</v>
          </cell>
          <cell r="I131" t="str">
            <v>570</v>
          </cell>
          <cell r="J131" t="str">
            <v>x</v>
          </cell>
          <cell r="K131" t="str">
            <v>YES</v>
          </cell>
          <cell r="L131" t="str">
            <v>YES</v>
          </cell>
          <cell r="M131" t="str">
            <v>YES</v>
          </cell>
          <cell r="N131" t="str">
            <v>YES</v>
          </cell>
          <cell r="O131" t="str">
            <v>YES</v>
          </cell>
          <cell r="P131" t="str">
            <v>Arrêté</v>
          </cell>
          <cell r="Q131" t="str">
            <v>YES</v>
          </cell>
          <cell r="R131" t="str">
            <v>Arrêté</v>
          </cell>
          <cell r="S131" t="str">
            <v>N.A</v>
          </cell>
          <cell r="T131"/>
          <cell r="U131"/>
          <cell r="V131"/>
          <cell r="W131"/>
          <cell r="X131"/>
          <cell r="Y131" t="str">
            <v>Live</v>
          </cell>
          <cell r="Z131" t="str">
            <v>Bilateral</v>
          </cell>
        </row>
        <row r="132">
          <cell r="F132" t="str">
            <v>ZAFCC</v>
          </cell>
          <cell r="G132"/>
          <cell r="H132" t="str">
            <v>655</v>
          </cell>
          <cell r="I132" t="str">
            <v>07</v>
          </cell>
          <cell r="J132"/>
          <cell r="K132" t="str">
            <v>YES</v>
          </cell>
          <cell r="L132" t="str">
            <v>YES</v>
          </cell>
          <cell r="M132" t="str">
            <v>N.A</v>
          </cell>
          <cell r="N132" t="str">
            <v>YES</v>
          </cell>
          <cell r="O132" t="str">
            <v>YES</v>
          </cell>
          <cell r="P132" t="str">
            <v>YES</v>
          </cell>
          <cell r="Q132" t="str">
            <v>YES</v>
          </cell>
          <cell r="R132" t="str">
            <v>YES</v>
          </cell>
          <cell r="S132"/>
          <cell r="T132"/>
          <cell r="U132"/>
          <cell r="V132"/>
          <cell r="W132"/>
          <cell r="X132"/>
          <cell r="Y132" t="str">
            <v>Live</v>
          </cell>
          <cell r="Z132" t="str">
            <v>Bilateral</v>
          </cell>
        </row>
        <row r="133">
          <cell r="F133" t="str">
            <v>CHNCT</v>
          </cell>
          <cell r="G133"/>
          <cell r="H133" t="str">
            <v>460</v>
          </cell>
          <cell r="I133" t="str">
            <v>00</v>
          </cell>
          <cell r="J133" t="str">
            <v>x</v>
          </cell>
          <cell r="K133" t="str">
            <v>YES</v>
          </cell>
          <cell r="L133" t="str">
            <v>YES</v>
          </cell>
          <cell r="M133" t="str">
            <v>N.A</v>
          </cell>
          <cell r="N133" t="str">
            <v>N.A</v>
          </cell>
          <cell r="O133" t="str">
            <v>YES</v>
          </cell>
          <cell r="P133" t="str">
            <v>YES</v>
          </cell>
          <cell r="Q133" t="str">
            <v>YES</v>
          </cell>
          <cell r="R133" t="str">
            <v>YES</v>
          </cell>
          <cell r="S133" t="str">
            <v>YES</v>
          </cell>
          <cell r="T133" t="str">
            <v>YES</v>
          </cell>
          <cell r="U133"/>
          <cell r="V133"/>
          <cell r="W133"/>
          <cell r="X133"/>
          <cell r="Y133" t="str">
            <v>Live</v>
          </cell>
          <cell r="Z133" t="str">
            <v>Bilateral</v>
          </cell>
        </row>
        <row r="134">
          <cell r="F134" t="str">
            <v>CHNCM</v>
          </cell>
          <cell r="G134"/>
          <cell r="H134" t="str">
            <v>460</v>
          </cell>
          <cell r="I134" t="str">
            <v>02</v>
          </cell>
          <cell r="J134" t="str">
            <v>x</v>
          </cell>
          <cell r="K134" t="str">
            <v>YES</v>
          </cell>
          <cell r="L134" t="str">
            <v>N.A</v>
          </cell>
          <cell r="M134" t="str">
            <v>N.A</v>
          </cell>
          <cell r="N134" t="str">
            <v>N.A</v>
          </cell>
          <cell r="O134" t="str">
            <v>YES</v>
          </cell>
          <cell r="P134" t="str">
            <v>N.A</v>
          </cell>
          <cell r="Q134" t="str">
            <v>YES</v>
          </cell>
          <cell r="R134" t="str">
            <v>N.A</v>
          </cell>
          <cell r="S134" t="str">
            <v>YES</v>
          </cell>
          <cell r="T134" t="str">
            <v>N.A</v>
          </cell>
          <cell r="U134"/>
          <cell r="V134"/>
          <cell r="W134"/>
          <cell r="X134"/>
          <cell r="Y134" t="str">
            <v>Live</v>
          </cell>
          <cell r="Z134" t="str">
            <v>Bilateral</v>
          </cell>
        </row>
        <row r="135">
          <cell r="F135" t="str">
            <v>CHNTD</v>
          </cell>
          <cell r="G135"/>
          <cell r="H135" t="str">
            <v>460</v>
          </cell>
          <cell r="I135" t="str">
            <v>07</v>
          </cell>
          <cell r="J135" t="str">
            <v>x</v>
          </cell>
          <cell r="K135" t="str">
            <v>YES</v>
          </cell>
          <cell r="L135" t="str">
            <v>N.A</v>
          </cell>
          <cell r="M135" t="str">
            <v>N.A</v>
          </cell>
          <cell r="N135" t="str">
            <v>N.A</v>
          </cell>
          <cell r="O135" t="str">
            <v>YES</v>
          </cell>
          <cell r="P135" t="str">
            <v>N.A</v>
          </cell>
          <cell r="Q135" t="str">
            <v>YES</v>
          </cell>
          <cell r="R135" t="str">
            <v>N.A</v>
          </cell>
          <cell r="S135" t="str">
            <v>YES</v>
          </cell>
          <cell r="T135" t="str">
            <v>N.A</v>
          </cell>
          <cell r="U135"/>
          <cell r="V135"/>
          <cell r="W135"/>
          <cell r="X135"/>
          <cell r="Y135" t="str">
            <v>Live</v>
          </cell>
          <cell r="Z135" t="str">
            <v>Bilateral</v>
          </cell>
        </row>
        <row r="136">
          <cell r="F136" t="str">
            <v>CHNMM</v>
          </cell>
          <cell r="G136"/>
          <cell r="H136" t="str">
            <v>460</v>
          </cell>
          <cell r="I136" t="str">
            <v>13</v>
          </cell>
          <cell r="J136" t="str">
            <v>x</v>
          </cell>
          <cell r="K136" t="str">
            <v>YES</v>
          </cell>
          <cell r="L136" t="str">
            <v>N.A</v>
          </cell>
          <cell r="M136" t="str">
            <v>N.A</v>
          </cell>
          <cell r="N136" t="str">
            <v>N.A</v>
          </cell>
          <cell r="O136" t="str">
            <v>YES</v>
          </cell>
          <cell r="P136" t="str">
            <v>N.A</v>
          </cell>
          <cell r="Q136" t="str">
            <v>YES</v>
          </cell>
          <cell r="R136" t="str">
            <v>N.A</v>
          </cell>
          <cell r="S136" t="str">
            <v>YES</v>
          </cell>
          <cell r="T136" t="str">
            <v>N.A</v>
          </cell>
          <cell r="U136"/>
          <cell r="V136"/>
          <cell r="W136"/>
          <cell r="X136"/>
          <cell r="Y136" t="str">
            <v>Live</v>
          </cell>
          <cell r="Z136" t="str">
            <v>Bilateral</v>
          </cell>
        </row>
        <row r="137">
          <cell r="F137" t="str">
            <v>CHNDX</v>
          </cell>
          <cell r="G137" t="str">
            <v>CHNK7</v>
          </cell>
          <cell r="H137" t="str">
            <v>460</v>
          </cell>
          <cell r="I137" t="str">
            <v>11</v>
          </cell>
          <cell r="J137" t="str">
            <v>x</v>
          </cell>
          <cell r="K137" t="str">
            <v>YES</v>
          </cell>
          <cell r="L137" t="str">
            <v>N.A</v>
          </cell>
          <cell r="M137" t="str">
            <v>N.A</v>
          </cell>
          <cell r="N137" t="str">
            <v>N.A</v>
          </cell>
          <cell r="O137" t="str">
            <v>YES</v>
          </cell>
          <cell r="P137" t="str">
            <v>N.A</v>
          </cell>
          <cell r="Q137" t="str">
            <v>YES</v>
          </cell>
          <cell r="R137" t="str">
            <v>N.A</v>
          </cell>
          <cell r="S137" t="str">
            <v>YES</v>
          </cell>
          <cell r="T137" t="str">
            <v>N.A</v>
          </cell>
          <cell r="U137"/>
          <cell r="V137"/>
          <cell r="W137"/>
          <cell r="X137"/>
          <cell r="Y137" t="str">
            <v>Live</v>
          </cell>
          <cell r="Z137" t="str">
            <v>Comfone</v>
          </cell>
        </row>
        <row r="138">
          <cell r="F138" t="str">
            <v>CHNCU</v>
          </cell>
          <cell r="G138"/>
          <cell r="H138" t="str">
            <v>460</v>
          </cell>
          <cell r="I138" t="str">
            <v>01</v>
          </cell>
          <cell r="J138" t="str">
            <v>x</v>
          </cell>
          <cell r="K138" t="str">
            <v>YES</v>
          </cell>
          <cell r="L138" t="str">
            <v>Arrêté</v>
          </cell>
          <cell r="M138" t="str">
            <v>N.A</v>
          </cell>
          <cell r="N138" t="str">
            <v>Arrêté</v>
          </cell>
          <cell r="O138" t="str">
            <v>YES</v>
          </cell>
          <cell r="P138" t="str">
            <v>Arrêté</v>
          </cell>
          <cell r="Q138" t="str">
            <v>YES</v>
          </cell>
          <cell r="R138" t="str">
            <v>Arrêté</v>
          </cell>
          <cell r="S138" t="str">
            <v>YES</v>
          </cell>
          <cell r="T138" t="str">
            <v>YES</v>
          </cell>
          <cell r="U138"/>
          <cell r="V138"/>
          <cell r="W138"/>
          <cell r="X138"/>
          <cell r="Y138" t="str">
            <v>Live</v>
          </cell>
          <cell r="Z138" t="str">
            <v>Bilateral</v>
          </cell>
        </row>
        <row r="139">
          <cell r="F139" t="str">
            <v>CHNCN</v>
          </cell>
          <cell r="G139"/>
          <cell r="H139" t="str">
            <v>460</v>
          </cell>
          <cell r="I139" t="str">
            <v>09</v>
          </cell>
          <cell r="J139" t="str">
            <v>x</v>
          </cell>
          <cell r="K139" t="str">
            <v>YES</v>
          </cell>
          <cell r="L139" t="str">
            <v>N.A</v>
          </cell>
          <cell r="M139" t="str">
            <v>N.A</v>
          </cell>
          <cell r="N139" t="str">
            <v>N.A</v>
          </cell>
          <cell r="O139" t="str">
            <v>YES</v>
          </cell>
          <cell r="P139" t="str">
            <v>N.A</v>
          </cell>
          <cell r="Q139" t="str">
            <v>YES</v>
          </cell>
          <cell r="R139" t="str">
            <v>N.A</v>
          </cell>
          <cell r="S139" t="str">
            <v>YES</v>
          </cell>
          <cell r="T139" t="str">
            <v>N.A</v>
          </cell>
          <cell r="U139"/>
          <cell r="V139"/>
          <cell r="W139"/>
          <cell r="X139"/>
          <cell r="Y139" t="str">
            <v>Live</v>
          </cell>
          <cell r="Z139" t="str">
            <v>Bilateral</v>
          </cell>
        </row>
        <row r="140">
          <cell r="F140" t="str">
            <v>MRTCH</v>
          </cell>
          <cell r="G140"/>
          <cell r="H140" t="str">
            <v>609</v>
          </cell>
          <cell r="I140" t="str">
            <v>02</v>
          </cell>
          <cell r="J140"/>
          <cell r="K140" t="str">
            <v>YES</v>
          </cell>
          <cell r="L140" t="str">
            <v>YES</v>
          </cell>
          <cell r="M140" t="str">
            <v>YES</v>
          </cell>
          <cell r="N140" t="str">
            <v>YES</v>
          </cell>
          <cell r="O140"/>
          <cell r="P140"/>
          <cell r="Q140" t="str">
            <v>N.A</v>
          </cell>
          <cell r="R140"/>
          <cell r="S140"/>
          <cell r="T140"/>
          <cell r="U140"/>
          <cell r="V140"/>
          <cell r="W140"/>
          <cell r="X140"/>
          <cell r="Y140" t="str">
            <v>Live</v>
          </cell>
          <cell r="Z140" t="str">
            <v>Bilateral</v>
          </cell>
        </row>
        <row r="141">
          <cell r="F141" t="str">
            <v>TJKBM</v>
          </cell>
          <cell r="G141" t="str">
            <v>TJKK7</v>
          </cell>
          <cell r="H141" t="str">
            <v>436</v>
          </cell>
          <cell r="I141" t="str">
            <v>04</v>
          </cell>
          <cell r="J141" t="str">
            <v>x</v>
          </cell>
          <cell r="K141" t="str">
            <v>YES</v>
          </cell>
          <cell r="L141" t="str">
            <v>YES</v>
          </cell>
          <cell r="M141" t="str">
            <v>N.A</v>
          </cell>
          <cell r="N141"/>
          <cell r="O141" t="str">
            <v>YES</v>
          </cell>
          <cell r="P141" t="str">
            <v>YES</v>
          </cell>
          <cell r="Q141" t="str">
            <v>YES</v>
          </cell>
          <cell r="R141" t="str">
            <v>YES</v>
          </cell>
          <cell r="S141" t="str">
            <v>YES</v>
          </cell>
          <cell r="T141" t="str">
            <v>YES</v>
          </cell>
          <cell r="U141"/>
          <cell r="V141"/>
          <cell r="W141"/>
          <cell r="X141"/>
          <cell r="Y141" t="str">
            <v>Live</v>
          </cell>
          <cell r="Z141" t="str">
            <v>Comfone</v>
          </cell>
        </row>
        <row r="142">
          <cell r="F142" t="str">
            <v>CHLSM</v>
          </cell>
          <cell r="G142"/>
          <cell r="H142" t="str">
            <v>730</v>
          </cell>
          <cell r="I142" t="str">
            <v>03</v>
          </cell>
          <cell r="J142" t="str">
            <v>x</v>
          </cell>
          <cell r="K142" t="str">
            <v>YES</v>
          </cell>
          <cell r="L142" t="str">
            <v>YES</v>
          </cell>
          <cell r="M142"/>
          <cell r="N142"/>
          <cell r="O142" t="str">
            <v>YES</v>
          </cell>
          <cell r="P142" t="str">
            <v>YES</v>
          </cell>
          <cell r="Q142" t="str">
            <v>YES</v>
          </cell>
          <cell r="R142" t="str">
            <v>YES</v>
          </cell>
          <cell r="S142"/>
          <cell r="T142"/>
          <cell r="U142"/>
          <cell r="V142"/>
          <cell r="W142"/>
          <cell r="X142"/>
          <cell r="Y142" t="str">
            <v>Live</v>
          </cell>
          <cell r="Z142" t="str">
            <v>Bilateral</v>
          </cell>
        </row>
        <row r="143">
          <cell r="F143" t="str">
            <v>CRICL</v>
          </cell>
          <cell r="G143" t="str">
            <v>CRIK9</v>
          </cell>
          <cell r="H143" t="str">
            <v>712</v>
          </cell>
          <cell r="I143" t="str">
            <v>03</v>
          </cell>
          <cell r="J143" t="str">
            <v>x</v>
          </cell>
          <cell r="K143" t="str">
            <v>YES</v>
          </cell>
          <cell r="L143" t="str">
            <v>YES</v>
          </cell>
          <cell r="M143"/>
          <cell r="N143" t="str">
            <v>YES</v>
          </cell>
          <cell r="O143" t="str">
            <v>YES</v>
          </cell>
          <cell r="P143" t="str">
            <v>YES</v>
          </cell>
          <cell r="Q143" t="str">
            <v>YES</v>
          </cell>
          <cell r="R143" t="str">
            <v>YES</v>
          </cell>
          <cell r="S143"/>
          <cell r="T143"/>
          <cell r="U143"/>
          <cell r="V143"/>
          <cell r="W143"/>
          <cell r="X143"/>
          <cell r="Y143" t="str">
            <v>Live</v>
          </cell>
          <cell r="Z143" t="str">
            <v>Comfone</v>
          </cell>
        </row>
        <row r="144">
          <cell r="F144" t="str">
            <v>SLVTP</v>
          </cell>
          <cell r="G144" t="str">
            <v>SLVK9</v>
          </cell>
          <cell r="H144" t="str">
            <v>706</v>
          </cell>
          <cell r="I144" t="str">
            <v>01</v>
          </cell>
          <cell r="J144" t="str">
            <v>x</v>
          </cell>
          <cell r="K144" t="str">
            <v>YES</v>
          </cell>
          <cell r="L144" t="str">
            <v>YES</v>
          </cell>
          <cell r="M144"/>
          <cell r="N144" t="str">
            <v>YES</v>
          </cell>
          <cell r="O144" t="str">
            <v>YES</v>
          </cell>
          <cell r="P144" t="str">
            <v>YES</v>
          </cell>
          <cell r="Q144" t="str">
            <v>YES</v>
          </cell>
          <cell r="R144" t="str">
            <v>YES</v>
          </cell>
          <cell r="S144" t="str">
            <v>N.A</v>
          </cell>
          <cell r="T144"/>
          <cell r="U144"/>
          <cell r="V144"/>
          <cell r="W144"/>
          <cell r="X144"/>
          <cell r="Y144" t="str">
            <v>Live</v>
          </cell>
          <cell r="Z144" t="str">
            <v>Comfone</v>
          </cell>
        </row>
        <row r="145">
          <cell r="F145" t="str">
            <v>NICEN</v>
          </cell>
          <cell r="G145" t="str">
            <v>NICK9</v>
          </cell>
          <cell r="H145" t="str">
            <v>710</v>
          </cell>
          <cell r="I145" t="str">
            <v>21</v>
          </cell>
          <cell r="J145" t="str">
            <v>x</v>
          </cell>
          <cell r="K145" t="str">
            <v>YES</v>
          </cell>
          <cell r="L145" t="str">
            <v>YES</v>
          </cell>
          <cell r="M145"/>
          <cell r="N145" t="str">
            <v>YES</v>
          </cell>
          <cell r="O145" t="str">
            <v>YES</v>
          </cell>
          <cell r="P145" t="str">
            <v>YES</v>
          </cell>
          <cell r="Q145" t="str">
            <v>YES</v>
          </cell>
          <cell r="R145" t="str">
            <v>YES</v>
          </cell>
          <cell r="S145" t="str">
            <v>N.A</v>
          </cell>
          <cell r="T145"/>
          <cell r="U145"/>
          <cell r="V145"/>
          <cell r="W145"/>
          <cell r="X145"/>
          <cell r="Y145" t="str">
            <v>Live</v>
          </cell>
          <cell r="Z145" t="str">
            <v>Comfone</v>
          </cell>
        </row>
        <row r="146">
          <cell r="F146" t="str">
            <v>PRICL</v>
          </cell>
          <cell r="G146"/>
          <cell r="H146" t="str">
            <v>330</v>
          </cell>
          <cell r="I146" t="str">
            <v>110</v>
          </cell>
          <cell r="J146" t="str">
            <v>x</v>
          </cell>
          <cell r="K146" t="str">
            <v>YES</v>
          </cell>
          <cell r="L146" t="str">
            <v>YES</v>
          </cell>
          <cell r="M146" t="str">
            <v>YES</v>
          </cell>
          <cell r="N146" t="str">
            <v>YES</v>
          </cell>
          <cell r="O146" t="str">
            <v>YES</v>
          </cell>
          <cell r="P146" t="str">
            <v>YES</v>
          </cell>
          <cell r="Q146" t="str">
            <v>YES</v>
          </cell>
          <cell r="R146" t="str">
            <v>YES</v>
          </cell>
          <cell r="S146" t="str">
            <v>YES</v>
          </cell>
          <cell r="T146" t="str">
            <v>YES</v>
          </cell>
          <cell r="U146"/>
          <cell r="V146"/>
          <cell r="W146"/>
          <cell r="X146"/>
          <cell r="Y146" t="str">
            <v>Live</v>
          </cell>
          <cell r="Z146" t="str">
            <v>Bilateral</v>
          </cell>
        </row>
        <row r="147">
          <cell r="F147" t="str">
            <v>PAKPL</v>
          </cell>
          <cell r="G147"/>
          <cell r="H147" t="str">
            <v>410</v>
          </cell>
          <cell r="I147" t="str">
            <v>04</v>
          </cell>
          <cell r="J147" t="str">
            <v>x</v>
          </cell>
          <cell r="K147" t="str">
            <v>YES</v>
          </cell>
          <cell r="L147" t="str">
            <v>YES</v>
          </cell>
          <cell r="M147"/>
          <cell r="N147" t="str">
            <v>Planned</v>
          </cell>
          <cell r="O147" t="str">
            <v>YES</v>
          </cell>
          <cell r="P147" t="str">
            <v>YES</v>
          </cell>
          <cell r="Q147" t="str">
            <v>YES</v>
          </cell>
          <cell r="R147" t="str">
            <v>YES</v>
          </cell>
          <cell r="S147" t="str">
            <v>YES</v>
          </cell>
          <cell r="T147" t="str">
            <v>YES</v>
          </cell>
          <cell r="U147"/>
          <cell r="V147"/>
          <cell r="W147"/>
          <cell r="X147"/>
          <cell r="Y147" t="str">
            <v>Live</v>
          </cell>
          <cell r="Z147" t="str">
            <v>Bilateral</v>
          </cell>
        </row>
        <row r="148">
          <cell r="F148" t="str">
            <v>COLCO</v>
          </cell>
          <cell r="G148" t="str">
            <v>COLK9</v>
          </cell>
          <cell r="H148" t="str">
            <v>732</v>
          </cell>
          <cell r="I148" t="str">
            <v>111</v>
          </cell>
          <cell r="J148" t="str">
            <v>x</v>
          </cell>
          <cell r="K148" t="str">
            <v>YES</v>
          </cell>
          <cell r="L148" t="str">
            <v>YES</v>
          </cell>
          <cell r="M148" t="str">
            <v>N.A</v>
          </cell>
          <cell r="N148" t="str">
            <v>YES</v>
          </cell>
          <cell r="O148" t="str">
            <v>YES</v>
          </cell>
          <cell r="P148" t="str">
            <v>YES</v>
          </cell>
          <cell r="Q148" t="str">
            <v>YES</v>
          </cell>
          <cell r="R148" t="str">
            <v>YES</v>
          </cell>
          <cell r="S148"/>
          <cell r="T148"/>
          <cell r="U148"/>
          <cell r="V148"/>
          <cell r="W148"/>
          <cell r="X148"/>
          <cell r="Y148" t="str">
            <v>Live</v>
          </cell>
          <cell r="Z148" t="str">
            <v>Comfone</v>
          </cell>
        </row>
        <row r="149">
          <cell r="F149" t="str">
            <v>COLTI</v>
          </cell>
          <cell r="G149" t="str">
            <v>COLK8</v>
          </cell>
          <cell r="H149" t="str">
            <v>732</v>
          </cell>
          <cell r="I149" t="str">
            <v>103</v>
          </cell>
          <cell r="J149" t="str">
            <v>x</v>
          </cell>
          <cell r="K149" t="str">
            <v>YES</v>
          </cell>
          <cell r="L149" t="str">
            <v>N.A</v>
          </cell>
          <cell r="M149" t="str">
            <v>N.A</v>
          </cell>
          <cell r="N149" t="str">
            <v>N.A</v>
          </cell>
          <cell r="O149" t="str">
            <v>YES</v>
          </cell>
          <cell r="P149" t="str">
            <v>N.A</v>
          </cell>
          <cell r="Q149" t="str">
            <v>YES</v>
          </cell>
          <cell r="R149" t="str">
            <v>N.A</v>
          </cell>
          <cell r="S149"/>
          <cell r="T149"/>
          <cell r="U149"/>
          <cell r="V149"/>
          <cell r="W149"/>
          <cell r="X149"/>
          <cell r="Y149" t="str">
            <v>Live</v>
          </cell>
          <cell r="Z149" t="str">
            <v>Comfone</v>
          </cell>
        </row>
        <row r="150">
          <cell r="F150" t="str">
            <v>GTMCM</v>
          </cell>
          <cell r="G150" t="str">
            <v>GTMK8</v>
          </cell>
          <cell r="H150" t="str">
            <v>704</v>
          </cell>
          <cell r="I150" t="str">
            <v>02</v>
          </cell>
          <cell r="J150" t="str">
            <v>x</v>
          </cell>
          <cell r="K150" t="str">
            <v>YES</v>
          </cell>
          <cell r="L150" t="str">
            <v>YES</v>
          </cell>
          <cell r="M150"/>
          <cell r="N150"/>
          <cell r="O150" t="str">
            <v>YES</v>
          </cell>
          <cell r="P150" t="str">
            <v>YES</v>
          </cell>
          <cell r="Q150" t="str">
            <v>YES</v>
          </cell>
          <cell r="R150" t="str">
            <v>YES</v>
          </cell>
          <cell r="S150"/>
          <cell r="T150"/>
          <cell r="U150"/>
          <cell r="V150"/>
          <cell r="W150"/>
          <cell r="X150"/>
          <cell r="Y150" t="str">
            <v>Live</v>
          </cell>
          <cell r="Z150" t="str">
            <v>Comfone</v>
          </cell>
        </row>
        <row r="151">
          <cell r="F151" t="str">
            <v>GMBCM</v>
          </cell>
          <cell r="G151"/>
          <cell r="H151" t="str">
            <v>607</v>
          </cell>
          <cell r="I151" t="str">
            <v>03</v>
          </cell>
          <cell r="J151" t="str">
            <v>x</v>
          </cell>
          <cell r="K151" t="str">
            <v>YES</v>
          </cell>
          <cell r="L151" t="str">
            <v>YES</v>
          </cell>
          <cell r="M151" t="str">
            <v>YES</v>
          </cell>
          <cell r="N151" t="str">
            <v>YES</v>
          </cell>
          <cell r="O151"/>
          <cell r="P151" t="str">
            <v>YES</v>
          </cell>
          <cell r="Q151"/>
          <cell r="R151" t="str">
            <v>YES</v>
          </cell>
          <cell r="S151"/>
          <cell r="T151" t="str">
            <v>YES</v>
          </cell>
          <cell r="U151"/>
          <cell r="V151"/>
          <cell r="W151"/>
          <cell r="X151"/>
          <cell r="Y151" t="str">
            <v>Live</v>
          </cell>
          <cell r="Z151" t="str">
            <v>Bilateral</v>
          </cell>
        </row>
        <row r="152">
          <cell r="F152" t="str">
            <v>USACD</v>
          </cell>
          <cell r="G152" t="str">
            <v>USAK7</v>
          </cell>
          <cell r="H152" t="str">
            <v>311</v>
          </cell>
          <cell r="I152" t="str">
            <v>320</v>
          </cell>
          <cell r="J152" t="str">
            <v>x</v>
          </cell>
          <cell r="K152" t="str">
            <v>YES</v>
          </cell>
          <cell r="L152" t="str">
            <v>YES</v>
          </cell>
          <cell r="M152"/>
          <cell r="N152" t="str">
            <v>YES</v>
          </cell>
          <cell r="O152" t="str">
            <v>YES</v>
          </cell>
          <cell r="P152" t="str">
            <v>YES</v>
          </cell>
          <cell r="Q152" t="str">
            <v>YES</v>
          </cell>
          <cell r="R152" t="str">
            <v>YES</v>
          </cell>
          <cell r="S152" t="str">
            <v>YES</v>
          </cell>
          <cell r="T152" t="str">
            <v>YES</v>
          </cell>
          <cell r="U152"/>
          <cell r="V152"/>
          <cell r="W152"/>
          <cell r="X152"/>
          <cell r="Y152" t="str">
            <v>Live</v>
          </cell>
          <cell r="Z152" t="str">
            <v>Comfone</v>
          </cell>
        </row>
        <row r="153">
          <cell r="F153" t="str">
            <v>GRCCO</v>
          </cell>
          <cell r="G153"/>
          <cell r="H153" t="str">
            <v>202</v>
          </cell>
          <cell r="I153" t="str">
            <v>01</v>
          </cell>
          <cell r="J153" t="str">
            <v>x</v>
          </cell>
          <cell r="K153" t="str">
            <v>YES</v>
          </cell>
          <cell r="L153" t="str">
            <v>YES</v>
          </cell>
          <cell r="M153" t="str">
            <v>YES</v>
          </cell>
          <cell r="N153" t="str">
            <v>YES</v>
          </cell>
          <cell r="O153" t="str">
            <v>YES</v>
          </cell>
          <cell r="P153" t="str">
            <v>Arrêté</v>
          </cell>
          <cell r="Q153" t="str">
            <v>YES</v>
          </cell>
          <cell r="R153" t="str">
            <v>Arrêté</v>
          </cell>
          <cell r="S153" t="str">
            <v>YES</v>
          </cell>
          <cell r="T153" t="str">
            <v>YES</v>
          </cell>
          <cell r="U153"/>
          <cell r="V153"/>
          <cell r="W153"/>
          <cell r="X153"/>
          <cell r="Y153" t="str">
            <v>Live</v>
          </cell>
          <cell r="Z153" t="str">
            <v>Bilateral</v>
          </cell>
        </row>
        <row r="154">
          <cell r="F154" t="str">
            <v>STPST</v>
          </cell>
          <cell r="G154" t="str">
            <v>STPK9</v>
          </cell>
          <cell r="H154" t="str">
            <v>626</v>
          </cell>
          <cell r="I154" t="str">
            <v>01</v>
          </cell>
          <cell r="J154" t="str">
            <v>x</v>
          </cell>
          <cell r="K154" t="str">
            <v>YES</v>
          </cell>
          <cell r="L154" t="str">
            <v>YES</v>
          </cell>
          <cell r="M154"/>
          <cell r="N154" t="str">
            <v>YES</v>
          </cell>
          <cell r="O154" t="str">
            <v>YES</v>
          </cell>
          <cell r="P154" t="str">
            <v>YES</v>
          </cell>
          <cell r="Q154" t="str">
            <v>YES</v>
          </cell>
          <cell r="R154" t="str">
            <v>YES</v>
          </cell>
          <cell r="S154"/>
          <cell r="T154"/>
          <cell r="U154"/>
          <cell r="V154"/>
          <cell r="W154"/>
          <cell r="X154"/>
          <cell r="Y154" t="str">
            <v>Live</v>
          </cell>
          <cell r="Z154" t="str">
            <v>Comfone</v>
          </cell>
        </row>
        <row r="155">
          <cell r="F155" t="str">
            <v>MACCT</v>
          </cell>
          <cell r="G155"/>
          <cell r="H155" t="str">
            <v>455</v>
          </cell>
          <cell r="I155" t="str">
            <v>01</v>
          </cell>
          <cell r="J155" t="str">
            <v>x</v>
          </cell>
          <cell r="K155" t="str">
            <v>YES</v>
          </cell>
          <cell r="L155" t="str">
            <v>YES</v>
          </cell>
          <cell r="M155"/>
          <cell r="N155" t="str">
            <v>YES</v>
          </cell>
          <cell r="O155" t="str">
            <v>YES</v>
          </cell>
          <cell r="P155" t="str">
            <v>YES</v>
          </cell>
          <cell r="Q155" t="str">
            <v>YES</v>
          </cell>
          <cell r="R155" t="str">
            <v>YES</v>
          </cell>
          <cell r="S155" t="str">
            <v>YES</v>
          </cell>
          <cell r="T155" t="str">
            <v>YES</v>
          </cell>
          <cell r="U155"/>
          <cell r="V155"/>
          <cell r="W155"/>
          <cell r="X155"/>
          <cell r="Y155" t="str">
            <v>Live</v>
          </cell>
          <cell r="Z155" t="str">
            <v>Bilateral</v>
          </cell>
        </row>
        <row r="156">
          <cell r="F156" t="str">
            <v>ANTCT</v>
          </cell>
          <cell r="G156"/>
          <cell r="H156" t="str">
            <v>362</v>
          </cell>
          <cell r="I156" t="str">
            <v>69</v>
          </cell>
          <cell r="J156" t="str">
            <v>x</v>
          </cell>
          <cell r="K156" t="str">
            <v>YES</v>
          </cell>
          <cell r="L156" t="str">
            <v>YES</v>
          </cell>
          <cell r="M156" t="str">
            <v>YES</v>
          </cell>
          <cell r="N156" t="str">
            <v>Planned</v>
          </cell>
          <cell r="O156" t="str">
            <v>YES</v>
          </cell>
          <cell r="P156" t="str">
            <v>YES</v>
          </cell>
          <cell r="Q156" t="str">
            <v>YES</v>
          </cell>
          <cell r="R156" t="str">
            <v>YES</v>
          </cell>
          <cell r="S156" t="str">
            <v>YES</v>
          </cell>
          <cell r="T156" t="str">
            <v>YES</v>
          </cell>
          <cell r="U156"/>
          <cell r="V156"/>
          <cell r="W156"/>
          <cell r="X156"/>
          <cell r="Y156" t="str">
            <v>Live</v>
          </cell>
          <cell r="Z156" t="str">
            <v>Bilateral</v>
          </cell>
        </row>
        <row r="157">
          <cell r="F157" t="str">
            <v>ANTCT</v>
          </cell>
          <cell r="G157"/>
          <cell r="H157" t="str">
            <v>362</v>
          </cell>
          <cell r="I157" t="str">
            <v>69</v>
          </cell>
          <cell r="J157" t="str">
            <v>x</v>
          </cell>
          <cell r="K157" t="str">
            <v>YES</v>
          </cell>
          <cell r="L157" t="str">
            <v>YES</v>
          </cell>
          <cell r="M157" t="str">
            <v>YES</v>
          </cell>
          <cell r="N157" t="str">
            <v>Planned</v>
          </cell>
          <cell r="O157" t="str">
            <v>YES</v>
          </cell>
          <cell r="P157" t="str">
            <v>YES</v>
          </cell>
          <cell r="Q157" t="str">
            <v>YES</v>
          </cell>
          <cell r="R157" t="str">
            <v>YES</v>
          </cell>
          <cell r="S157" t="str">
            <v>YES</v>
          </cell>
          <cell r="T157" t="str">
            <v>YES</v>
          </cell>
          <cell r="U157"/>
          <cell r="V157"/>
          <cell r="W157"/>
          <cell r="X157"/>
          <cell r="Y157" t="str">
            <v>Live</v>
          </cell>
          <cell r="Z157" t="str">
            <v>Bilateral</v>
          </cell>
        </row>
        <row r="158">
          <cell r="F158" t="str">
            <v>CPVCV</v>
          </cell>
          <cell r="G158"/>
          <cell r="H158" t="str">
            <v>625</v>
          </cell>
          <cell r="I158" t="str">
            <v>01</v>
          </cell>
          <cell r="J158" t="str">
            <v>x</v>
          </cell>
          <cell r="K158" t="str">
            <v>YES</v>
          </cell>
          <cell r="L158" t="str">
            <v>YES</v>
          </cell>
          <cell r="M158" t="str">
            <v>Planned</v>
          </cell>
          <cell r="N158" t="str">
            <v>YES</v>
          </cell>
          <cell r="O158" t="str">
            <v>YES</v>
          </cell>
          <cell r="P158" t="str">
            <v>YES</v>
          </cell>
          <cell r="Q158" t="str">
            <v>YES</v>
          </cell>
          <cell r="R158" t="str">
            <v>YES</v>
          </cell>
          <cell r="S158" t="str">
            <v>YES</v>
          </cell>
          <cell r="T158" t="str">
            <v>YES</v>
          </cell>
          <cell r="U158"/>
          <cell r="V158"/>
          <cell r="W158"/>
          <cell r="X158"/>
          <cell r="Y158" t="str">
            <v>Live</v>
          </cell>
          <cell r="Z158" t="str">
            <v>Bilateral</v>
          </cell>
        </row>
        <row r="159">
          <cell r="F159" t="str">
            <v>BRNDS</v>
          </cell>
          <cell r="G159" t="str">
            <v>BRNK8</v>
          </cell>
          <cell r="H159">
            <v>528</v>
          </cell>
          <cell r="I159" t="str">
            <v>11</v>
          </cell>
          <cell r="J159" t="str">
            <v>x</v>
          </cell>
          <cell r="K159" t="str">
            <v>YES</v>
          </cell>
          <cell r="L159" t="str">
            <v>YES</v>
          </cell>
          <cell r="M159"/>
          <cell r="N159"/>
          <cell r="O159" t="str">
            <v>YES</v>
          </cell>
          <cell r="P159" t="str">
            <v>YES</v>
          </cell>
          <cell r="Q159" t="str">
            <v>YES</v>
          </cell>
          <cell r="R159" t="str">
            <v>YES</v>
          </cell>
          <cell r="S159" t="str">
            <v>N.A</v>
          </cell>
          <cell r="T159" t="str">
            <v>N.A</v>
          </cell>
          <cell r="U159"/>
          <cell r="V159"/>
          <cell r="W159"/>
          <cell r="X159"/>
          <cell r="Y159" t="str">
            <v>Live</v>
          </cell>
          <cell r="Z159" t="str">
            <v>Comfone</v>
          </cell>
        </row>
        <row r="160">
          <cell r="F160" t="str">
            <v>BRNTB</v>
          </cell>
          <cell r="G160" t="str">
            <v>BRNK6</v>
          </cell>
          <cell r="H160">
            <v>528</v>
          </cell>
          <cell r="I160" t="str">
            <v>01</v>
          </cell>
          <cell r="J160" t="str">
            <v>x</v>
          </cell>
          <cell r="K160" t="str">
            <v>YES</v>
          </cell>
          <cell r="L160" t="str">
            <v>N.A</v>
          </cell>
          <cell r="M160" t="str">
            <v>YES</v>
          </cell>
          <cell r="N160" t="str">
            <v>N.A</v>
          </cell>
          <cell r="O160" t="str">
            <v>YES</v>
          </cell>
          <cell r="P160" t="str">
            <v>N.A</v>
          </cell>
          <cell r="Q160" t="str">
            <v>YES</v>
          </cell>
          <cell r="R160" t="str">
            <v>N.A</v>
          </cell>
          <cell r="S160" t="str">
            <v>N.A</v>
          </cell>
          <cell r="T160" t="str">
            <v>N.A</v>
          </cell>
          <cell r="U160"/>
          <cell r="V160"/>
          <cell r="W160"/>
          <cell r="X160"/>
          <cell r="Y160" t="str">
            <v>Live</v>
          </cell>
          <cell r="Z160" t="str">
            <v>Comfone</v>
          </cell>
        </row>
        <row r="161">
          <cell r="F161" t="str">
            <v>GLPDT</v>
          </cell>
          <cell r="G161" t="str">
            <v>GLPK9</v>
          </cell>
          <cell r="H161" t="str">
            <v>340</v>
          </cell>
          <cell r="I161" t="str">
            <v>08</v>
          </cell>
          <cell r="J161" t="str">
            <v>x</v>
          </cell>
          <cell r="K161" t="str">
            <v>YES</v>
          </cell>
          <cell r="L161" t="str">
            <v>YES</v>
          </cell>
          <cell r="M161" t="str">
            <v>YES</v>
          </cell>
          <cell r="N161" t="str">
            <v>YES</v>
          </cell>
          <cell r="O161" t="str">
            <v>YES</v>
          </cell>
          <cell r="P161" t="str">
            <v>YES</v>
          </cell>
          <cell r="Q161" t="str">
            <v>YES</v>
          </cell>
          <cell r="R161" t="str">
            <v>YES</v>
          </cell>
          <cell r="S161" t="str">
            <v>YES</v>
          </cell>
          <cell r="T161" t="str">
            <v>YES</v>
          </cell>
          <cell r="U161"/>
          <cell r="V161"/>
          <cell r="W161"/>
          <cell r="X161"/>
          <cell r="Y161" t="str">
            <v>Live</v>
          </cell>
          <cell r="Z161" t="str">
            <v>Comfone</v>
          </cell>
        </row>
        <row r="162">
          <cell r="F162" t="str">
            <v>MDV01</v>
          </cell>
          <cell r="G162" t="str">
            <v>MDVK8</v>
          </cell>
          <cell r="H162" t="str">
            <v>472</v>
          </cell>
          <cell r="I162" t="str">
            <v>01</v>
          </cell>
          <cell r="J162" t="str">
            <v>x</v>
          </cell>
          <cell r="K162" t="str">
            <v>YES</v>
          </cell>
          <cell r="L162" t="str">
            <v>YES</v>
          </cell>
          <cell r="M162"/>
          <cell r="N162" t="str">
            <v>YES</v>
          </cell>
          <cell r="O162" t="str">
            <v>YES</v>
          </cell>
          <cell r="P162" t="str">
            <v>YES</v>
          </cell>
          <cell r="Q162" t="str">
            <v>YES</v>
          </cell>
          <cell r="R162" t="str">
            <v>YES</v>
          </cell>
          <cell r="S162" t="str">
            <v>YES</v>
          </cell>
          <cell r="T162" t="str">
            <v>YES</v>
          </cell>
          <cell r="U162"/>
          <cell r="V162"/>
          <cell r="W162"/>
          <cell r="X162"/>
          <cell r="Y162" t="str">
            <v>Live</v>
          </cell>
          <cell r="Z162" t="str">
            <v>Comfone</v>
          </cell>
        </row>
        <row r="163">
          <cell r="F163" t="str">
            <v>LKADG</v>
          </cell>
          <cell r="G163"/>
          <cell r="H163" t="str">
            <v>413</v>
          </cell>
          <cell r="I163" t="str">
            <v>02</v>
          </cell>
          <cell r="J163" t="str">
            <v>x</v>
          </cell>
          <cell r="K163" t="str">
            <v>YES</v>
          </cell>
          <cell r="L163" t="str">
            <v>YES</v>
          </cell>
          <cell r="M163" t="str">
            <v>YES</v>
          </cell>
          <cell r="N163" t="str">
            <v>YES</v>
          </cell>
          <cell r="O163" t="str">
            <v>YES</v>
          </cell>
          <cell r="P163" t="str">
            <v>YES</v>
          </cell>
          <cell r="Q163" t="str">
            <v>YES</v>
          </cell>
          <cell r="R163" t="str">
            <v>YES</v>
          </cell>
          <cell r="S163" t="str">
            <v>YES</v>
          </cell>
          <cell r="T163" t="str">
            <v>YES</v>
          </cell>
          <cell r="U163"/>
          <cell r="V163"/>
          <cell r="W163"/>
          <cell r="X163"/>
          <cell r="Y163" t="str">
            <v>Live</v>
          </cell>
          <cell r="Z163" t="str">
            <v>Bilateral</v>
          </cell>
        </row>
        <row r="164">
          <cell r="F164" t="str">
            <v>HUND1</v>
          </cell>
          <cell r="G164" t="str">
            <v xml:space="preserve">HUNK8 </v>
          </cell>
          <cell r="H164" t="str">
            <v>216</v>
          </cell>
          <cell r="I164" t="str">
            <v>03</v>
          </cell>
          <cell r="J164" t="str">
            <v>x</v>
          </cell>
          <cell r="K164" t="str">
            <v>YES</v>
          </cell>
          <cell r="L164" t="str">
            <v>N.A</v>
          </cell>
          <cell r="M164" t="str">
            <v>N.A</v>
          </cell>
          <cell r="N164" t="str">
            <v>N.A</v>
          </cell>
          <cell r="O164" t="str">
            <v>YES</v>
          </cell>
          <cell r="P164" t="str">
            <v>N.A</v>
          </cell>
          <cell r="Q164" t="str">
            <v>YES</v>
          </cell>
          <cell r="R164" t="str">
            <v>N.A</v>
          </cell>
          <cell r="S164" t="str">
            <v>N.A</v>
          </cell>
          <cell r="T164" t="str">
            <v>N.A</v>
          </cell>
          <cell r="U164"/>
          <cell r="V164"/>
          <cell r="W164"/>
          <cell r="X164"/>
          <cell r="Y164" t="str">
            <v>Live</v>
          </cell>
          <cell r="Z164" t="str">
            <v>Comfone</v>
          </cell>
        </row>
        <row r="165">
          <cell r="F165" t="str">
            <v>ITADI</v>
          </cell>
          <cell r="G165" t="str">
            <v>ITAK7</v>
          </cell>
          <cell r="H165">
            <v>222</v>
          </cell>
          <cell r="I165" t="str">
            <v>36</v>
          </cell>
          <cell r="J165" t="str">
            <v>x</v>
          </cell>
          <cell r="K165" t="str">
            <v>YES</v>
          </cell>
          <cell r="L165" t="str">
            <v>N.A</v>
          </cell>
          <cell r="M165" t="str">
            <v>YES</v>
          </cell>
          <cell r="N165" t="str">
            <v>N.A</v>
          </cell>
          <cell r="O165" t="str">
            <v>YES</v>
          </cell>
          <cell r="P165" t="str">
            <v>N.A</v>
          </cell>
          <cell r="Q165" t="str">
            <v>YES</v>
          </cell>
          <cell r="R165" t="str">
            <v>N.A</v>
          </cell>
          <cell r="S165" t="str">
            <v>YES</v>
          </cell>
          <cell r="T165" t="str">
            <v>N.A</v>
          </cell>
          <cell r="U165"/>
          <cell r="V165"/>
          <cell r="W165"/>
          <cell r="X165"/>
          <cell r="Y165" t="str">
            <v>Live</v>
          </cell>
          <cell r="Z165" t="str">
            <v>Comfone</v>
          </cell>
        </row>
        <row r="166">
          <cell r="F166" t="str">
            <v>MYSMT</v>
          </cell>
          <cell r="G166" t="str">
            <v>MYSOH</v>
          </cell>
          <cell r="H166" t="str">
            <v>502</v>
          </cell>
          <cell r="I166" t="str">
            <v>16</v>
          </cell>
          <cell r="J166" t="str">
            <v>x</v>
          </cell>
          <cell r="K166" t="str">
            <v>YES</v>
          </cell>
          <cell r="L166" t="str">
            <v>YES</v>
          </cell>
          <cell r="M166" t="str">
            <v>YES</v>
          </cell>
          <cell r="N166" t="str">
            <v>YES</v>
          </cell>
          <cell r="O166" t="str">
            <v>YES</v>
          </cell>
          <cell r="P166" t="str">
            <v>Arrêté</v>
          </cell>
          <cell r="Q166" t="str">
            <v>YES</v>
          </cell>
          <cell r="R166" t="str">
            <v>Arrêté</v>
          </cell>
          <cell r="S166" t="str">
            <v>Planned</v>
          </cell>
          <cell r="T166" t="str">
            <v>Planned</v>
          </cell>
          <cell r="U166"/>
          <cell r="V166"/>
          <cell r="W166"/>
          <cell r="X166"/>
          <cell r="Y166" t="str">
            <v>Live</v>
          </cell>
          <cell r="Z166" t="str">
            <v>Orange Hub</v>
          </cell>
        </row>
        <row r="167">
          <cell r="F167" t="str">
            <v>ESPDI</v>
          </cell>
          <cell r="G167" t="str">
            <v>ESPK9</v>
          </cell>
          <cell r="H167">
            <v>214</v>
          </cell>
          <cell r="I167" t="str">
            <v>22</v>
          </cell>
          <cell r="J167" t="str">
            <v>x</v>
          </cell>
          <cell r="K167" t="str">
            <v>YES</v>
          </cell>
          <cell r="L167" t="str">
            <v>N.A</v>
          </cell>
          <cell r="M167" t="str">
            <v>YES</v>
          </cell>
          <cell r="N167" t="str">
            <v>N.A</v>
          </cell>
          <cell r="O167" t="str">
            <v>YES</v>
          </cell>
          <cell r="P167" t="str">
            <v>N.A</v>
          </cell>
          <cell r="Q167" t="str">
            <v>YES</v>
          </cell>
          <cell r="R167" t="str">
            <v>N.A</v>
          </cell>
          <cell r="S167" t="str">
            <v>YES</v>
          </cell>
          <cell r="T167" t="str">
            <v>N.A</v>
          </cell>
          <cell r="U167"/>
          <cell r="V167"/>
          <cell r="W167"/>
          <cell r="X167"/>
          <cell r="Y167" t="str">
            <v>Live</v>
          </cell>
          <cell r="Z167" t="str">
            <v>Comfone</v>
          </cell>
        </row>
        <row r="168">
          <cell r="F168" t="str">
            <v>PANDC</v>
          </cell>
          <cell r="G168"/>
          <cell r="H168" t="str">
            <v>714</v>
          </cell>
          <cell r="I168" t="str">
            <v>04</v>
          </cell>
          <cell r="J168" t="str">
            <v>x</v>
          </cell>
          <cell r="K168"/>
          <cell r="L168" t="str">
            <v>YES</v>
          </cell>
          <cell r="M168" t="str">
            <v>N.A</v>
          </cell>
          <cell r="N168" t="str">
            <v>N.A</v>
          </cell>
          <cell r="O168" t="str">
            <v>N.A</v>
          </cell>
          <cell r="P168" t="str">
            <v>N.A</v>
          </cell>
          <cell r="Q168" t="str">
            <v>N.A</v>
          </cell>
          <cell r="R168" t="str">
            <v>N.A</v>
          </cell>
          <cell r="S168" t="str">
            <v>N.A</v>
          </cell>
          <cell r="T168" t="str">
            <v>N.A</v>
          </cell>
          <cell r="U168"/>
          <cell r="V168"/>
          <cell r="W168"/>
          <cell r="X168"/>
          <cell r="Y168" t="str">
            <v>Terminated</v>
          </cell>
          <cell r="Z168" t="str">
            <v>Bilateral</v>
          </cell>
        </row>
        <row r="169">
          <cell r="F169" t="str">
            <v>FRAF4</v>
          </cell>
          <cell r="G169"/>
          <cell r="H169" t="str">
            <v>340</v>
          </cell>
          <cell r="I169" t="str">
            <v>20</v>
          </cell>
          <cell r="J169" t="str">
            <v>x</v>
          </cell>
          <cell r="K169" t="str">
            <v>YES</v>
          </cell>
          <cell r="L169" t="str">
            <v>YES</v>
          </cell>
          <cell r="M169"/>
          <cell r="N169"/>
          <cell r="O169" t="str">
            <v>YES</v>
          </cell>
          <cell r="P169" t="str">
            <v>YES</v>
          </cell>
          <cell r="Q169" t="str">
            <v>YES</v>
          </cell>
          <cell r="R169" t="str">
            <v>YES</v>
          </cell>
          <cell r="S169" t="str">
            <v>YES</v>
          </cell>
          <cell r="T169" t="str">
            <v>YES</v>
          </cell>
          <cell r="U169"/>
          <cell r="V169"/>
          <cell r="W169"/>
          <cell r="X169"/>
          <cell r="Y169" t="str">
            <v>Live</v>
          </cell>
          <cell r="Z169" t="str">
            <v>Bilateral</v>
          </cell>
        </row>
        <row r="170">
          <cell r="F170" t="str">
            <v>FRAF4</v>
          </cell>
          <cell r="G170"/>
          <cell r="H170" t="str">
            <v>340</v>
          </cell>
          <cell r="I170" t="str">
            <v>20</v>
          </cell>
          <cell r="J170" t="str">
            <v>x</v>
          </cell>
          <cell r="K170" t="str">
            <v>YES</v>
          </cell>
          <cell r="L170" t="str">
            <v>YES</v>
          </cell>
          <cell r="M170"/>
          <cell r="N170"/>
          <cell r="O170" t="str">
            <v>YES</v>
          </cell>
          <cell r="P170" t="str">
            <v>YES</v>
          </cell>
          <cell r="Q170" t="str">
            <v>YES</v>
          </cell>
          <cell r="R170" t="str">
            <v>YES</v>
          </cell>
          <cell r="S170" t="str">
            <v>YES</v>
          </cell>
          <cell r="T170" t="str">
            <v>YES</v>
          </cell>
          <cell r="U170"/>
          <cell r="V170"/>
          <cell r="W170"/>
          <cell r="X170"/>
          <cell r="Y170" t="str">
            <v>Live</v>
          </cell>
          <cell r="Z170" t="str">
            <v>Bilateral</v>
          </cell>
        </row>
        <row r="171">
          <cell r="F171" t="str">
            <v>FRAF4</v>
          </cell>
          <cell r="G171"/>
          <cell r="H171" t="str">
            <v>340</v>
          </cell>
          <cell r="I171" t="str">
            <v>20</v>
          </cell>
          <cell r="J171" t="str">
            <v>x</v>
          </cell>
          <cell r="K171" t="str">
            <v>YES</v>
          </cell>
          <cell r="L171" t="str">
            <v>YES</v>
          </cell>
          <cell r="M171"/>
          <cell r="N171"/>
          <cell r="O171" t="str">
            <v>YES</v>
          </cell>
          <cell r="P171" t="str">
            <v>YES</v>
          </cell>
          <cell r="Q171" t="str">
            <v>YES</v>
          </cell>
          <cell r="R171" t="str">
            <v>YES</v>
          </cell>
          <cell r="S171" t="str">
            <v>YES</v>
          </cell>
          <cell r="T171" t="str">
            <v>YES</v>
          </cell>
          <cell r="U171"/>
          <cell r="V171"/>
          <cell r="W171"/>
          <cell r="X171"/>
          <cell r="Y171" t="str">
            <v>Live</v>
          </cell>
          <cell r="Z171" t="str">
            <v>Bilateral</v>
          </cell>
        </row>
        <row r="172">
          <cell r="F172" t="str">
            <v>FJIDP</v>
          </cell>
          <cell r="G172" t="str">
            <v>FJIFT</v>
          </cell>
          <cell r="H172" t="str">
            <v>542</v>
          </cell>
          <cell r="I172" t="str">
            <v>02</v>
          </cell>
          <cell r="J172"/>
          <cell r="K172" t="str">
            <v>YES</v>
          </cell>
          <cell r="L172" t="str">
            <v>YES</v>
          </cell>
          <cell r="M172"/>
          <cell r="N172"/>
          <cell r="O172" t="str">
            <v>YES</v>
          </cell>
          <cell r="P172" t="str">
            <v>YES</v>
          </cell>
          <cell r="Q172" t="str">
            <v>YES</v>
          </cell>
          <cell r="R172" t="str">
            <v>YES</v>
          </cell>
          <cell r="S172" t="str">
            <v>YES</v>
          </cell>
          <cell r="T172" t="str">
            <v>YES</v>
          </cell>
          <cell r="U172"/>
          <cell r="V172"/>
          <cell r="W172"/>
          <cell r="X172"/>
          <cell r="Y172" t="str">
            <v>Live</v>
          </cell>
          <cell r="Z172" t="str">
            <v>Orange Hub</v>
          </cell>
        </row>
        <row r="173">
          <cell r="F173" t="str">
            <v>JAMDC</v>
          </cell>
          <cell r="G173"/>
          <cell r="H173" t="str">
            <v>338</v>
          </cell>
          <cell r="I173" t="str">
            <v>050</v>
          </cell>
          <cell r="J173" t="str">
            <v>x</v>
          </cell>
          <cell r="K173" t="str">
            <v>YES</v>
          </cell>
          <cell r="L173" t="str">
            <v>YES</v>
          </cell>
          <cell r="M173"/>
          <cell r="N173" t="str">
            <v>Planned</v>
          </cell>
          <cell r="O173" t="str">
            <v>N.A</v>
          </cell>
          <cell r="P173" t="str">
            <v>YES</v>
          </cell>
          <cell r="Q173" t="str">
            <v>YES</v>
          </cell>
          <cell r="R173" t="str">
            <v>YES</v>
          </cell>
          <cell r="S173" t="str">
            <v>YES</v>
          </cell>
          <cell r="T173" t="str">
            <v>YES</v>
          </cell>
          <cell r="U173"/>
          <cell r="V173"/>
          <cell r="W173"/>
          <cell r="X173"/>
          <cell r="Y173" t="str">
            <v>Live</v>
          </cell>
          <cell r="Z173" t="str">
            <v>Bilateral</v>
          </cell>
        </row>
        <row r="174">
          <cell r="F174" t="str">
            <v>JAMDC</v>
          </cell>
          <cell r="G174"/>
          <cell r="H174" t="str">
            <v>338</v>
          </cell>
          <cell r="I174" t="str">
            <v>050</v>
          </cell>
          <cell r="J174" t="str">
            <v>x</v>
          </cell>
          <cell r="K174" t="str">
            <v>YES</v>
          </cell>
          <cell r="L174" t="str">
            <v>YES</v>
          </cell>
          <cell r="M174"/>
          <cell r="N174" t="str">
            <v>Planned</v>
          </cell>
          <cell r="O174" t="str">
            <v>N.A</v>
          </cell>
          <cell r="P174" t="str">
            <v>YES</v>
          </cell>
          <cell r="Q174" t="str">
            <v>YES</v>
          </cell>
          <cell r="R174" t="str">
            <v>YES</v>
          </cell>
          <cell r="S174" t="str">
            <v>YES</v>
          </cell>
          <cell r="T174" t="str">
            <v>YES</v>
          </cell>
          <cell r="U174"/>
          <cell r="V174"/>
          <cell r="W174"/>
          <cell r="X174"/>
          <cell r="Y174" t="str">
            <v>Live</v>
          </cell>
          <cell r="Z174" t="str">
            <v>Bilateral</v>
          </cell>
        </row>
        <row r="175">
          <cell r="F175" t="str">
            <v>JAMDC</v>
          </cell>
          <cell r="G175"/>
          <cell r="H175" t="str">
            <v>338</v>
          </cell>
          <cell r="I175" t="str">
            <v>050</v>
          </cell>
          <cell r="J175" t="str">
            <v>x</v>
          </cell>
          <cell r="K175" t="str">
            <v>YES</v>
          </cell>
          <cell r="L175" t="str">
            <v>YES</v>
          </cell>
          <cell r="M175"/>
          <cell r="N175" t="str">
            <v>Planned</v>
          </cell>
          <cell r="O175" t="str">
            <v>N.A</v>
          </cell>
          <cell r="P175" t="str">
            <v>YES</v>
          </cell>
          <cell r="Q175" t="str">
            <v>YES</v>
          </cell>
          <cell r="R175" t="str">
            <v>YES</v>
          </cell>
          <cell r="S175" t="str">
            <v>YES</v>
          </cell>
          <cell r="T175" t="str">
            <v>YES</v>
          </cell>
          <cell r="U175"/>
          <cell r="V175"/>
          <cell r="W175"/>
          <cell r="X175"/>
          <cell r="Y175" t="str">
            <v>Live</v>
          </cell>
          <cell r="Z175" t="str">
            <v>Bilateral</v>
          </cell>
        </row>
        <row r="176">
          <cell r="F176" t="str">
            <v>JAMDC</v>
          </cell>
          <cell r="G176"/>
          <cell r="H176" t="str">
            <v>338</v>
          </cell>
          <cell r="I176" t="str">
            <v>050</v>
          </cell>
          <cell r="J176" t="str">
            <v>x</v>
          </cell>
          <cell r="K176" t="str">
            <v>YES</v>
          </cell>
          <cell r="L176" t="str">
            <v>YES</v>
          </cell>
          <cell r="M176"/>
          <cell r="N176" t="str">
            <v>Planned</v>
          </cell>
          <cell r="O176" t="str">
            <v>N.A</v>
          </cell>
          <cell r="P176" t="str">
            <v>YES</v>
          </cell>
          <cell r="Q176" t="str">
            <v>YES</v>
          </cell>
          <cell r="R176" t="str">
            <v>YES</v>
          </cell>
          <cell r="S176" t="str">
            <v>YES</v>
          </cell>
          <cell r="T176" t="str">
            <v>YES</v>
          </cell>
          <cell r="U176"/>
          <cell r="V176"/>
          <cell r="W176"/>
          <cell r="X176"/>
          <cell r="Y176" t="str">
            <v>Live</v>
          </cell>
          <cell r="Z176" t="str">
            <v>Bilateral</v>
          </cell>
        </row>
        <row r="177">
          <cell r="F177" t="str">
            <v>JAMDC</v>
          </cell>
          <cell r="G177"/>
          <cell r="H177" t="str">
            <v>338</v>
          </cell>
          <cell r="I177" t="str">
            <v>050</v>
          </cell>
          <cell r="J177" t="str">
            <v>x</v>
          </cell>
          <cell r="K177" t="str">
            <v>YES</v>
          </cell>
          <cell r="L177" t="str">
            <v>Arrêté</v>
          </cell>
          <cell r="M177"/>
          <cell r="N177" t="str">
            <v>Planned</v>
          </cell>
          <cell r="O177" t="str">
            <v>N.A</v>
          </cell>
          <cell r="P177" t="str">
            <v>YES</v>
          </cell>
          <cell r="Q177" t="str">
            <v>YES</v>
          </cell>
          <cell r="R177" t="str">
            <v>YES</v>
          </cell>
          <cell r="S177" t="str">
            <v>YES</v>
          </cell>
          <cell r="T177" t="str">
            <v>YES</v>
          </cell>
          <cell r="U177"/>
          <cell r="V177"/>
          <cell r="W177"/>
          <cell r="X177"/>
          <cell r="Y177" t="str">
            <v>Live</v>
          </cell>
          <cell r="Z177" t="str">
            <v>Bilateral</v>
          </cell>
        </row>
        <row r="178">
          <cell r="F178" t="str">
            <v>JAMDC</v>
          </cell>
          <cell r="G178"/>
          <cell r="H178" t="str">
            <v>338</v>
          </cell>
          <cell r="I178" t="str">
            <v>050</v>
          </cell>
          <cell r="J178" t="str">
            <v>x</v>
          </cell>
          <cell r="K178" t="str">
            <v>YES</v>
          </cell>
          <cell r="L178" t="str">
            <v>YES</v>
          </cell>
          <cell r="M178"/>
          <cell r="N178" t="str">
            <v>Planned</v>
          </cell>
          <cell r="O178" t="str">
            <v>N.A</v>
          </cell>
          <cell r="P178" t="str">
            <v>YES</v>
          </cell>
          <cell r="Q178" t="str">
            <v>YES</v>
          </cell>
          <cell r="R178" t="str">
            <v>YES</v>
          </cell>
          <cell r="S178" t="str">
            <v>YES</v>
          </cell>
          <cell r="T178" t="str">
            <v>YES</v>
          </cell>
          <cell r="U178"/>
          <cell r="V178"/>
          <cell r="W178"/>
          <cell r="X178"/>
          <cell r="Y178" t="str">
            <v>Live</v>
          </cell>
          <cell r="Z178" t="str">
            <v>Bilateral</v>
          </cell>
        </row>
        <row r="179">
          <cell r="F179" t="str">
            <v>JAMDC</v>
          </cell>
          <cell r="G179"/>
          <cell r="H179" t="str">
            <v>338</v>
          </cell>
          <cell r="I179" t="str">
            <v>050</v>
          </cell>
          <cell r="J179" t="str">
            <v>x</v>
          </cell>
          <cell r="K179" t="str">
            <v>YES</v>
          </cell>
          <cell r="L179" t="str">
            <v>YES</v>
          </cell>
          <cell r="M179"/>
          <cell r="N179" t="str">
            <v>Planned</v>
          </cell>
          <cell r="O179" t="str">
            <v>N.A</v>
          </cell>
          <cell r="P179" t="str">
            <v>YES</v>
          </cell>
          <cell r="Q179" t="str">
            <v>YES</v>
          </cell>
          <cell r="R179" t="str">
            <v>YES</v>
          </cell>
          <cell r="S179" t="str">
            <v>YES</v>
          </cell>
          <cell r="T179" t="str">
            <v>YES</v>
          </cell>
          <cell r="U179"/>
          <cell r="V179"/>
          <cell r="W179"/>
          <cell r="X179"/>
          <cell r="Y179" t="str">
            <v>Live</v>
          </cell>
          <cell r="Z179" t="str">
            <v>Bilateral</v>
          </cell>
        </row>
        <row r="180">
          <cell r="F180" t="str">
            <v>JAMDC</v>
          </cell>
          <cell r="G180"/>
          <cell r="H180" t="str">
            <v>338</v>
          </cell>
          <cell r="I180" t="str">
            <v>050</v>
          </cell>
          <cell r="J180" t="str">
            <v>x</v>
          </cell>
          <cell r="K180" t="str">
            <v>YES</v>
          </cell>
          <cell r="L180" t="str">
            <v>YES</v>
          </cell>
          <cell r="M180"/>
          <cell r="N180" t="str">
            <v>Planned</v>
          </cell>
          <cell r="O180" t="str">
            <v>N.A</v>
          </cell>
          <cell r="P180" t="str">
            <v>YES</v>
          </cell>
          <cell r="Q180" t="str">
            <v>YES</v>
          </cell>
          <cell r="R180" t="str">
            <v>YES</v>
          </cell>
          <cell r="S180" t="str">
            <v>YES</v>
          </cell>
          <cell r="T180" t="str">
            <v>YES</v>
          </cell>
          <cell r="U180"/>
          <cell r="V180"/>
          <cell r="W180"/>
          <cell r="X180"/>
          <cell r="Y180" t="str">
            <v>Live</v>
          </cell>
          <cell r="Z180" t="str">
            <v>Bilateral</v>
          </cell>
        </row>
        <row r="181">
          <cell r="F181" t="str">
            <v>JAMDC</v>
          </cell>
          <cell r="G181"/>
          <cell r="H181" t="str">
            <v>338</v>
          </cell>
          <cell r="I181" t="str">
            <v>050</v>
          </cell>
          <cell r="J181" t="str">
            <v>x</v>
          </cell>
          <cell r="K181" t="str">
            <v>YES</v>
          </cell>
          <cell r="L181" t="str">
            <v>YES</v>
          </cell>
          <cell r="M181"/>
          <cell r="N181" t="str">
            <v>Planned</v>
          </cell>
          <cell r="O181" t="str">
            <v>N.A</v>
          </cell>
          <cell r="P181" t="str">
            <v>YES</v>
          </cell>
          <cell r="Q181" t="str">
            <v>YES</v>
          </cell>
          <cell r="R181" t="str">
            <v>YES</v>
          </cell>
          <cell r="S181" t="str">
            <v>YES</v>
          </cell>
          <cell r="T181" t="str">
            <v>YES</v>
          </cell>
          <cell r="U181"/>
          <cell r="V181"/>
          <cell r="W181"/>
          <cell r="X181"/>
          <cell r="Y181" t="str">
            <v>Live</v>
          </cell>
          <cell r="Z181" t="str">
            <v>Bilateral</v>
          </cell>
        </row>
        <row r="182">
          <cell r="F182" t="str">
            <v>JAMDC</v>
          </cell>
          <cell r="G182"/>
          <cell r="H182" t="str">
            <v>338</v>
          </cell>
          <cell r="I182" t="str">
            <v>050</v>
          </cell>
          <cell r="J182" t="str">
            <v>x</v>
          </cell>
          <cell r="K182" t="str">
            <v>YES</v>
          </cell>
          <cell r="L182" t="str">
            <v>YES</v>
          </cell>
          <cell r="M182"/>
          <cell r="N182" t="str">
            <v>Planned</v>
          </cell>
          <cell r="O182" t="str">
            <v>N.A</v>
          </cell>
          <cell r="P182" t="str">
            <v>YES</v>
          </cell>
          <cell r="Q182" t="str">
            <v>YES</v>
          </cell>
          <cell r="R182" t="str">
            <v>YES</v>
          </cell>
          <cell r="S182" t="str">
            <v>YES</v>
          </cell>
          <cell r="T182" t="str">
            <v>YES</v>
          </cell>
          <cell r="U182"/>
          <cell r="V182"/>
          <cell r="W182"/>
          <cell r="X182"/>
          <cell r="Y182" t="str">
            <v>Live</v>
          </cell>
          <cell r="Z182" t="str">
            <v>Bilateral</v>
          </cell>
        </row>
        <row r="183">
          <cell r="F183" t="str">
            <v>JAMDC</v>
          </cell>
          <cell r="G183"/>
          <cell r="H183" t="str">
            <v>338</v>
          </cell>
          <cell r="I183" t="str">
            <v>050</v>
          </cell>
          <cell r="J183" t="str">
            <v>x</v>
          </cell>
          <cell r="K183" t="str">
            <v>YES</v>
          </cell>
          <cell r="L183" t="str">
            <v>YES</v>
          </cell>
          <cell r="M183"/>
          <cell r="N183" t="str">
            <v>Planned</v>
          </cell>
          <cell r="O183" t="str">
            <v>N.A</v>
          </cell>
          <cell r="P183" t="str">
            <v>YES</v>
          </cell>
          <cell r="Q183" t="str">
            <v>YES</v>
          </cell>
          <cell r="R183" t="str">
            <v>YES</v>
          </cell>
          <cell r="S183" t="str">
            <v>YES</v>
          </cell>
          <cell r="T183" t="str">
            <v>YES</v>
          </cell>
          <cell r="U183"/>
          <cell r="V183"/>
          <cell r="W183"/>
          <cell r="X183"/>
          <cell r="Y183" t="str">
            <v>Live</v>
          </cell>
          <cell r="Z183" t="str">
            <v>Bilateral</v>
          </cell>
        </row>
        <row r="184">
          <cell r="F184" t="str">
            <v>JAMDC</v>
          </cell>
          <cell r="G184"/>
          <cell r="H184" t="str">
            <v>338</v>
          </cell>
          <cell r="I184" t="str">
            <v>050</v>
          </cell>
          <cell r="J184" t="str">
            <v>x</v>
          </cell>
          <cell r="K184" t="str">
            <v>YES</v>
          </cell>
          <cell r="L184" t="str">
            <v>YES</v>
          </cell>
          <cell r="M184"/>
          <cell r="N184" t="str">
            <v>Planned</v>
          </cell>
          <cell r="O184" t="str">
            <v>N.A</v>
          </cell>
          <cell r="P184" t="str">
            <v>YES</v>
          </cell>
          <cell r="Q184" t="str">
            <v>YES</v>
          </cell>
          <cell r="R184" t="str">
            <v>YES</v>
          </cell>
          <cell r="S184" t="str">
            <v>YES</v>
          </cell>
          <cell r="T184" t="str">
            <v>YES</v>
          </cell>
          <cell r="U184"/>
          <cell r="V184"/>
          <cell r="W184"/>
          <cell r="X184"/>
          <cell r="Y184" t="str">
            <v>Live</v>
          </cell>
          <cell r="Z184" t="str">
            <v>Bilateral</v>
          </cell>
        </row>
        <row r="185">
          <cell r="F185" t="str">
            <v>TCADC</v>
          </cell>
          <cell r="G185"/>
          <cell r="H185" t="str">
            <v>376</v>
          </cell>
          <cell r="I185" t="str">
            <v>360</v>
          </cell>
          <cell r="J185" t="str">
            <v>x</v>
          </cell>
          <cell r="K185" t="str">
            <v>YES</v>
          </cell>
          <cell r="L185" t="str">
            <v>YES</v>
          </cell>
          <cell r="M185"/>
          <cell r="N185" t="str">
            <v>YES</v>
          </cell>
          <cell r="O185" t="str">
            <v>YES</v>
          </cell>
          <cell r="P185" t="str">
            <v>YES</v>
          </cell>
          <cell r="Q185" t="str">
            <v>YES</v>
          </cell>
          <cell r="R185" t="str">
            <v>YES</v>
          </cell>
          <cell r="S185" t="str">
            <v>YES</v>
          </cell>
          <cell r="T185" t="str">
            <v>YES</v>
          </cell>
          <cell r="U185"/>
          <cell r="V185"/>
          <cell r="W185"/>
          <cell r="X185"/>
          <cell r="Y185" t="str">
            <v>Live</v>
          </cell>
          <cell r="Z185" t="str">
            <v>Bilateral</v>
          </cell>
        </row>
        <row r="186">
          <cell r="F186" t="str">
            <v>JAMDC</v>
          </cell>
          <cell r="G186"/>
          <cell r="H186" t="str">
            <v>338</v>
          </cell>
          <cell r="I186" t="str">
            <v>050</v>
          </cell>
          <cell r="J186" t="str">
            <v>x</v>
          </cell>
          <cell r="K186" t="str">
            <v>YES</v>
          </cell>
          <cell r="L186" t="str">
            <v>YES</v>
          </cell>
          <cell r="M186"/>
          <cell r="N186" t="str">
            <v>Planned</v>
          </cell>
          <cell r="O186" t="str">
            <v>N.A</v>
          </cell>
          <cell r="P186" t="str">
            <v>YES</v>
          </cell>
          <cell r="Q186" t="str">
            <v>YES</v>
          </cell>
          <cell r="R186" t="str">
            <v>YES</v>
          </cell>
          <cell r="S186" t="str">
            <v>YES</v>
          </cell>
          <cell r="T186" t="str">
            <v>YES</v>
          </cell>
          <cell r="U186"/>
          <cell r="V186"/>
          <cell r="W186"/>
          <cell r="X186"/>
          <cell r="Y186" t="str">
            <v>Live</v>
          </cell>
          <cell r="Z186" t="str">
            <v>Bilateral</v>
          </cell>
        </row>
        <row r="187">
          <cell r="F187" t="str">
            <v>ABWDC</v>
          </cell>
          <cell r="G187"/>
          <cell r="H187">
            <v>363</v>
          </cell>
          <cell r="I187" t="str">
            <v>02</v>
          </cell>
          <cell r="J187" t="str">
            <v>x</v>
          </cell>
          <cell r="K187" t="str">
            <v>YES</v>
          </cell>
          <cell r="L187" t="str">
            <v>YES</v>
          </cell>
          <cell r="M187"/>
          <cell r="N187" t="str">
            <v>Planned</v>
          </cell>
          <cell r="O187" t="str">
            <v>YES</v>
          </cell>
          <cell r="P187"/>
          <cell r="Q187" t="str">
            <v>YES</v>
          </cell>
          <cell r="R187" t="str">
            <v>YES</v>
          </cell>
          <cell r="S187" t="str">
            <v>YES</v>
          </cell>
          <cell r="T187" t="str">
            <v>YES</v>
          </cell>
          <cell r="U187"/>
          <cell r="V187"/>
          <cell r="W187"/>
          <cell r="X187"/>
          <cell r="Y187" t="str">
            <v>Live</v>
          </cell>
          <cell r="Z187" t="str">
            <v>Bilateral</v>
          </cell>
        </row>
        <row r="188">
          <cell r="F188" t="str">
            <v>SURDC</v>
          </cell>
          <cell r="G188"/>
          <cell r="H188" t="str">
            <v>746</v>
          </cell>
          <cell r="I188" t="str">
            <v>03</v>
          </cell>
          <cell r="J188" t="str">
            <v>x</v>
          </cell>
          <cell r="K188" t="str">
            <v>YES</v>
          </cell>
          <cell r="L188" t="str">
            <v>YES</v>
          </cell>
          <cell r="M188" t="str">
            <v>N.A</v>
          </cell>
          <cell r="N188"/>
          <cell r="O188" t="str">
            <v>YES</v>
          </cell>
          <cell r="P188" t="str">
            <v>YES</v>
          </cell>
          <cell r="Q188" t="str">
            <v>YES</v>
          </cell>
          <cell r="R188" t="str">
            <v>YES</v>
          </cell>
          <cell r="S188" t="str">
            <v>YES</v>
          </cell>
          <cell r="T188" t="str">
            <v>YES</v>
          </cell>
          <cell r="U188"/>
          <cell r="V188"/>
          <cell r="W188"/>
          <cell r="X188"/>
          <cell r="Y188" t="str">
            <v>Live</v>
          </cell>
          <cell r="Z188" t="str">
            <v>Bilateral</v>
          </cell>
        </row>
        <row r="189">
          <cell r="F189" t="str">
            <v>TONDP</v>
          </cell>
          <cell r="G189" t="str">
            <v>TONFT</v>
          </cell>
          <cell r="H189" t="str">
            <v>539</v>
          </cell>
          <cell r="I189" t="str">
            <v>88</v>
          </cell>
          <cell r="J189" t="str">
            <v>x</v>
          </cell>
          <cell r="K189" t="str">
            <v>Planned</v>
          </cell>
          <cell r="L189" t="str">
            <v>YES</v>
          </cell>
          <cell r="M189"/>
          <cell r="N189"/>
          <cell r="O189" t="str">
            <v>Planned</v>
          </cell>
          <cell r="P189" t="str">
            <v>YES</v>
          </cell>
          <cell r="Q189" t="str">
            <v>Planned</v>
          </cell>
          <cell r="R189" t="str">
            <v>YES</v>
          </cell>
          <cell r="S189"/>
          <cell r="T189"/>
          <cell r="U189"/>
          <cell r="V189"/>
          <cell r="W189"/>
          <cell r="X189"/>
          <cell r="Y189" t="str">
            <v>Live</v>
          </cell>
          <cell r="Z189" t="str">
            <v>Orange Hub</v>
          </cell>
        </row>
        <row r="190">
          <cell r="F190" t="str">
            <v>TTODL</v>
          </cell>
          <cell r="G190"/>
          <cell r="H190" t="str">
            <v>374</v>
          </cell>
          <cell r="I190" t="str">
            <v>130</v>
          </cell>
          <cell r="J190" t="str">
            <v>x</v>
          </cell>
          <cell r="K190" t="str">
            <v>YES</v>
          </cell>
          <cell r="L190" t="str">
            <v>YES</v>
          </cell>
          <cell r="M190"/>
          <cell r="N190"/>
          <cell r="O190" t="str">
            <v>YES</v>
          </cell>
          <cell r="P190" t="str">
            <v>YES</v>
          </cell>
          <cell r="Q190" t="str">
            <v>YES</v>
          </cell>
          <cell r="R190" t="str">
            <v>YES</v>
          </cell>
          <cell r="S190" t="str">
            <v>YES</v>
          </cell>
          <cell r="T190" t="str">
            <v>YES</v>
          </cell>
          <cell r="U190"/>
          <cell r="V190"/>
          <cell r="W190"/>
          <cell r="X190"/>
          <cell r="Y190" t="str">
            <v>Live</v>
          </cell>
          <cell r="Z190" t="str">
            <v>Bilateral</v>
          </cell>
        </row>
        <row r="191">
          <cell r="F191" t="str">
            <v>VGBDC</v>
          </cell>
          <cell r="G191"/>
          <cell r="H191" t="str">
            <v>348</v>
          </cell>
          <cell r="I191" t="str">
            <v>770</v>
          </cell>
          <cell r="J191" t="str">
            <v>x</v>
          </cell>
          <cell r="K191" t="str">
            <v>YES</v>
          </cell>
          <cell r="L191" t="str">
            <v>YES</v>
          </cell>
          <cell r="M191" t="str">
            <v>YES</v>
          </cell>
          <cell r="N191" t="str">
            <v>YES</v>
          </cell>
          <cell r="O191" t="str">
            <v>YES</v>
          </cell>
          <cell r="P191" t="str">
            <v>Arrêté</v>
          </cell>
          <cell r="Q191" t="str">
            <v>YES</v>
          </cell>
          <cell r="R191" t="str">
            <v>YES</v>
          </cell>
          <cell r="S191" t="str">
            <v>YES</v>
          </cell>
          <cell r="T191" t="str">
            <v>YES</v>
          </cell>
          <cell r="U191"/>
          <cell r="V191"/>
          <cell r="W191"/>
          <cell r="X191"/>
          <cell r="Y191" t="str">
            <v>Live</v>
          </cell>
          <cell r="Z191" t="str">
            <v>Bilateral</v>
          </cell>
        </row>
        <row r="192">
          <cell r="F192" t="str">
            <v>SLVDC</v>
          </cell>
          <cell r="G192"/>
          <cell r="H192" t="str">
            <v>706</v>
          </cell>
          <cell r="I192" t="str">
            <v>02</v>
          </cell>
          <cell r="J192" t="str">
            <v>x</v>
          </cell>
          <cell r="K192" t="str">
            <v>YES</v>
          </cell>
          <cell r="L192" t="str">
            <v>YES</v>
          </cell>
          <cell r="M192"/>
          <cell r="N192"/>
          <cell r="O192" t="str">
            <v>YES</v>
          </cell>
          <cell r="P192" t="str">
            <v>YES</v>
          </cell>
          <cell r="Q192" t="str">
            <v>YES</v>
          </cell>
          <cell r="R192" t="str">
            <v>YES</v>
          </cell>
          <cell r="S192" t="str">
            <v>YES</v>
          </cell>
          <cell r="T192" t="str">
            <v>YES</v>
          </cell>
          <cell r="U192"/>
          <cell r="V192"/>
          <cell r="W192"/>
          <cell r="X192"/>
          <cell r="Y192" t="str">
            <v>Live</v>
          </cell>
          <cell r="Z192" t="str">
            <v>Bilateral</v>
          </cell>
        </row>
        <row r="193">
          <cell r="F193" t="str">
            <v>PNGVF</v>
          </cell>
          <cell r="G193" t="str">
            <v>PNGK6</v>
          </cell>
          <cell r="H193" t="str">
            <v>537</v>
          </cell>
          <cell r="I193" t="str">
            <v>04</v>
          </cell>
          <cell r="J193" t="str">
            <v>x</v>
          </cell>
          <cell r="K193" t="str">
            <v>YES</v>
          </cell>
          <cell r="L193" t="str">
            <v>YES</v>
          </cell>
          <cell r="M193" t="str">
            <v>YES</v>
          </cell>
          <cell r="N193" t="str">
            <v>YES</v>
          </cell>
          <cell r="O193" t="str">
            <v>YES</v>
          </cell>
          <cell r="P193" t="str">
            <v>YES</v>
          </cell>
          <cell r="Q193" t="str">
            <v>YES</v>
          </cell>
          <cell r="R193" t="str">
            <v>YES</v>
          </cell>
          <cell r="S193" t="str">
            <v>YES</v>
          </cell>
          <cell r="T193" t="str">
            <v>YES</v>
          </cell>
          <cell r="U193"/>
          <cell r="V193"/>
          <cell r="W193"/>
          <cell r="X193"/>
          <cell r="Y193" t="str">
            <v>Live</v>
          </cell>
          <cell r="Z193" t="str">
            <v>Comfone</v>
          </cell>
        </row>
        <row r="194">
          <cell r="F194" t="str">
            <v>DZAOT</v>
          </cell>
          <cell r="G194"/>
          <cell r="H194" t="str">
            <v>603</v>
          </cell>
          <cell r="I194" t="str">
            <v>02</v>
          </cell>
          <cell r="J194" t="str">
            <v>x</v>
          </cell>
          <cell r="K194" t="str">
            <v>YES</v>
          </cell>
          <cell r="L194" t="str">
            <v>YES</v>
          </cell>
          <cell r="M194" t="str">
            <v>YES</v>
          </cell>
          <cell r="N194" t="str">
            <v>YES</v>
          </cell>
          <cell r="O194" t="str">
            <v>YES</v>
          </cell>
          <cell r="P194" t="str">
            <v>YES</v>
          </cell>
          <cell r="Q194" t="str">
            <v>YES</v>
          </cell>
          <cell r="R194" t="str">
            <v>YES</v>
          </cell>
          <cell r="S194" t="str">
            <v>YES</v>
          </cell>
          <cell r="T194" t="str">
            <v>YES</v>
          </cell>
          <cell r="U194"/>
          <cell r="V194"/>
          <cell r="W194"/>
          <cell r="X194"/>
          <cell r="Y194" t="str">
            <v>Live</v>
          </cell>
          <cell r="Z194" t="str">
            <v>Bilateral</v>
          </cell>
        </row>
        <row r="195">
          <cell r="F195" t="str">
            <v>DJIDJ</v>
          </cell>
          <cell r="G195"/>
          <cell r="H195" t="str">
            <v>638</v>
          </cell>
          <cell r="I195" t="str">
            <v>01</v>
          </cell>
          <cell r="J195"/>
          <cell r="K195" t="str">
            <v>YES</v>
          </cell>
          <cell r="L195" t="str">
            <v>YES</v>
          </cell>
          <cell r="M195" t="str">
            <v>YES</v>
          </cell>
          <cell r="N195" t="str">
            <v>YES</v>
          </cell>
          <cell r="O195" t="str">
            <v>YES</v>
          </cell>
          <cell r="P195" t="str">
            <v>YES</v>
          </cell>
          <cell r="Q195" t="str">
            <v>YES</v>
          </cell>
          <cell r="R195" t="str">
            <v>YES</v>
          </cell>
          <cell r="S195" t="str">
            <v>YES</v>
          </cell>
          <cell r="T195" t="str">
            <v>YES</v>
          </cell>
          <cell r="U195"/>
          <cell r="V195"/>
          <cell r="W195"/>
          <cell r="X195"/>
          <cell r="Y195" t="str">
            <v>Live</v>
          </cell>
          <cell r="Z195" t="str">
            <v>Bilateral</v>
          </cell>
        </row>
        <row r="196">
          <cell r="F196" t="str">
            <v>FIN2G</v>
          </cell>
          <cell r="G196"/>
          <cell r="H196" t="str">
            <v>244</v>
          </cell>
          <cell r="I196" t="str">
            <v>12</v>
          </cell>
          <cell r="J196" t="str">
            <v>x</v>
          </cell>
          <cell r="K196" t="str">
            <v>YES</v>
          </cell>
          <cell r="L196" t="str">
            <v>YES</v>
          </cell>
          <cell r="M196"/>
          <cell r="N196"/>
          <cell r="O196" t="str">
            <v>YES</v>
          </cell>
          <cell r="P196" t="str">
            <v>YES</v>
          </cell>
          <cell r="Q196" t="str">
            <v>YES</v>
          </cell>
          <cell r="R196" t="str">
            <v>YES</v>
          </cell>
          <cell r="S196"/>
          <cell r="T196"/>
          <cell r="U196"/>
          <cell r="V196"/>
          <cell r="W196"/>
          <cell r="X196"/>
          <cell r="Y196" t="str">
            <v>Live</v>
          </cell>
          <cell r="Z196" t="str">
            <v>Bilateral</v>
          </cell>
        </row>
        <row r="197">
          <cell r="F197" t="str">
            <v>FINTA</v>
          </cell>
          <cell r="G197"/>
          <cell r="H197" t="str">
            <v>244</v>
          </cell>
          <cell r="I197" t="str">
            <v>03</v>
          </cell>
          <cell r="J197" t="str">
            <v>x</v>
          </cell>
          <cell r="K197" t="str">
            <v>YES</v>
          </cell>
          <cell r="L197" t="str">
            <v>N.A</v>
          </cell>
          <cell r="M197" t="str">
            <v>N.A</v>
          </cell>
          <cell r="N197" t="str">
            <v>N.A</v>
          </cell>
          <cell r="O197" t="str">
            <v>YES</v>
          </cell>
          <cell r="P197" t="str">
            <v>N.A</v>
          </cell>
          <cell r="Q197" t="str">
            <v>YES</v>
          </cell>
          <cell r="R197" t="str">
            <v>N.A</v>
          </cell>
          <cell r="S197"/>
          <cell r="T197"/>
          <cell r="U197"/>
          <cell r="V197"/>
          <cell r="W197"/>
          <cell r="X197"/>
          <cell r="Y197" t="str">
            <v>Live</v>
          </cell>
          <cell r="Z197" t="str">
            <v>Bilateral</v>
          </cell>
        </row>
        <row r="198">
          <cell r="F198" t="str">
            <v>GUMHT</v>
          </cell>
          <cell r="G198" t="str">
            <v xml:space="preserve">GUMK9 </v>
          </cell>
          <cell r="H198">
            <v>310</v>
          </cell>
          <cell r="I198" t="str">
            <v>470</v>
          </cell>
          <cell r="J198" t="str">
            <v>x</v>
          </cell>
          <cell r="K198" t="str">
            <v>YES</v>
          </cell>
          <cell r="L198" t="str">
            <v>YES</v>
          </cell>
          <cell r="M198"/>
          <cell r="N198" t="str">
            <v>YES</v>
          </cell>
          <cell r="O198" t="str">
            <v>YES</v>
          </cell>
          <cell r="P198" t="str">
            <v>YES</v>
          </cell>
          <cell r="Q198" t="str">
            <v>YES</v>
          </cell>
          <cell r="R198" t="str">
            <v>YES</v>
          </cell>
          <cell r="S198" t="str">
            <v>N.A</v>
          </cell>
          <cell r="T198" t="str">
            <v>N.A</v>
          </cell>
          <cell r="U198"/>
          <cell r="V198"/>
          <cell r="W198"/>
          <cell r="X198"/>
          <cell r="Y198" t="str">
            <v>Live</v>
          </cell>
          <cell r="Z198" t="str">
            <v>Comfone</v>
          </cell>
        </row>
        <row r="199">
          <cell r="F199" t="str">
            <v>THADT</v>
          </cell>
          <cell r="G199" t="str">
            <v>THAK8</v>
          </cell>
          <cell r="H199" t="str">
            <v>520</v>
          </cell>
          <cell r="I199" t="str">
            <v>05</v>
          </cell>
          <cell r="J199" t="str">
            <v>x</v>
          </cell>
          <cell r="K199" t="str">
            <v>YES</v>
          </cell>
          <cell r="L199" t="str">
            <v>YES</v>
          </cell>
          <cell r="M199"/>
          <cell r="N199" t="str">
            <v>YES</v>
          </cell>
          <cell r="O199" t="str">
            <v>YES</v>
          </cell>
          <cell r="P199" t="str">
            <v>YES</v>
          </cell>
          <cell r="Q199" t="str">
            <v>YES</v>
          </cell>
          <cell r="R199" t="str">
            <v>YES</v>
          </cell>
          <cell r="S199" t="str">
            <v>YES</v>
          </cell>
          <cell r="T199" t="str">
            <v>YES</v>
          </cell>
          <cell r="U199"/>
          <cell r="V199"/>
          <cell r="W199"/>
          <cell r="X199"/>
          <cell r="Y199" t="str">
            <v>Live</v>
          </cell>
          <cell r="Z199" t="str">
            <v>Comfone</v>
          </cell>
        </row>
        <row r="200">
          <cell r="F200" t="str">
            <v>AREDU</v>
          </cell>
          <cell r="G200"/>
          <cell r="H200" t="str">
            <v>424</v>
          </cell>
          <cell r="I200" t="str">
            <v>03</v>
          </cell>
          <cell r="J200" t="str">
            <v>x</v>
          </cell>
          <cell r="K200" t="str">
            <v>YES</v>
          </cell>
          <cell r="L200" t="str">
            <v>YES</v>
          </cell>
          <cell r="M200" t="str">
            <v>YES</v>
          </cell>
          <cell r="N200" t="str">
            <v>YES</v>
          </cell>
          <cell r="O200" t="str">
            <v>YES</v>
          </cell>
          <cell r="P200" t="str">
            <v>YES</v>
          </cell>
          <cell r="Q200" t="str">
            <v>YES</v>
          </cell>
          <cell r="R200" t="str">
            <v>YES</v>
          </cell>
          <cell r="S200" t="str">
            <v>YES</v>
          </cell>
          <cell r="T200" t="str">
            <v>YES</v>
          </cell>
          <cell r="U200"/>
          <cell r="V200"/>
          <cell r="W200"/>
          <cell r="X200"/>
          <cell r="Y200" t="str">
            <v>Live</v>
          </cell>
          <cell r="Z200" t="str">
            <v>Bilateral</v>
          </cell>
        </row>
        <row r="201">
          <cell r="F201" t="str">
            <v>JPNEM</v>
          </cell>
          <cell r="G201"/>
          <cell r="H201" t="str">
            <v>440</v>
          </cell>
          <cell r="I201" t="str">
            <v>00</v>
          </cell>
          <cell r="J201" t="str">
            <v>x</v>
          </cell>
          <cell r="K201" t="str">
            <v>YES</v>
          </cell>
          <cell r="L201" t="str">
            <v>N.A</v>
          </cell>
          <cell r="M201" t="str">
            <v>N.A</v>
          </cell>
          <cell r="N201" t="str">
            <v>N.A</v>
          </cell>
          <cell r="O201" t="str">
            <v>YES</v>
          </cell>
          <cell r="P201" t="str">
            <v>N.A</v>
          </cell>
          <cell r="Q201" t="str">
            <v>YES</v>
          </cell>
          <cell r="R201" t="str">
            <v>N.A</v>
          </cell>
          <cell r="S201" t="str">
            <v>N.A</v>
          </cell>
          <cell r="T201" t="str">
            <v>N.A</v>
          </cell>
          <cell r="U201"/>
          <cell r="V201"/>
          <cell r="W201"/>
          <cell r="X201"/>
          <cell r="Y201" t="str">
            <v>Live</v>
          </cell>
          <cell r="Z201" t="str">
            <v>Bilateral</v>
          </cell>
        </row>
        <row r="202">
          <cell r="F202" t="str">
            <v>LSOET</v>
          </cell>
          <cell r="G202"/>
          <cell r="H202" t="str">
            <v>651</v>
          </cell>
          <cell r="I202" t="str">
            <v>02</v>
          </cell>
          <cell r="J202"/>
          <cell r="K202" t="str">
            <v>YES</v>
          </cell>
          <cell r="L202" t="str">
            <v>YES</v>
          </cell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 t="str">
            <v>Live</v>
          </cell>
          <cell r="Z202" t="str">
            <v>Bilateral</v>
          </cell>
        </row>
        <row r="203">
          <cell r="F203" t="str">
            <v>GBROR</v>
          </cell>
          <cell r="G203"/>
          <cell r="H203" t="str">
            <v>234</v>
          </cell>
          <cell r="I203" t="str">
            <v>33</v>
          </cell>
          <cell r="J203" t="str">
            <v>x</v>
          </cell>
          <cell r="K203" t="str">
            <v>YES</v>
          </cell>
          <cell r="L203" t="str">
            <v>YES</v>
          </cell>
          <cell r="M203" t="str">
            <v>YES</v>
          </cell>
          <cell r="N203" t="str">
            <v>YES</v>
          </cell>
          <cell r="O203" t="str">
            <v>YES</v>
          </cell>
          <cell r="P203" t="str">
            <v>YES</v>
          </cell>
          <cell r="Q203" t="str">
            <v>YES</v>
          </cell>
          <cell r="R203" t="str">
            <v>YES</v>
          </cell>
          <cell r="S203" t="str">
            <v>YES</v>
          </cell>
          <cell r="T203"/>
          <cell r="U203"/>
          <cell r="V203"/>
          <cell r="W203"/>
          <cell r="X203"/>
          <cell r="Y203" t="str">
            <v>Live</v>
          </cell>
          <cell r="Z203" t="str">
            <v>Bilateral</v>
          </cell>
        </row>
        <row r="204">
          <cell r="F204" t="str">
            <v>GBRME</v>
          </cell>
          <cell r="G204"/>
          <cell r="H204" t="str">
            <v>234</v>
          </cell>
          <cell r="I204" t="str">
            <v>30</v>
          </cell>
          <cell r="J204" t="str">
            <v>x</v>
          </cell>
          <cell r="K204" t="str">
            <v>YES</v>
          </cell>
          <cell r="L204" t="str">
            <v>YES</v>
          </cell>
          <cell r="M204" t="str">
            <v>YES</v>
          </cell>
          <cell r="N204" t="str">
            <v>YES</v>
          </cell>
          <cell r="O204" t="str">
            <v>YES</v>
          </cell>
          <cell r="P204" t="str">
            <v>YES</v>
          </cell>
          <cell r="Q204" t="str">
            <v>YES</v>
          </cell>
          <cell r="R204" t="str">
            <v>YES</v>
          </cell>
          <cell r="S204" t="str">
            <v>YES</v>
          </cell>
          <cell r="T204" t="str">
            <v>YES</v>
          </cell>
          <cell r="U204"/>
          <cell r="V204"/>
          <cell r="W204"/>
          <cell r="X204"/>
          <cell r="Y204" t="str">
            <v>Live</v>
          </cell>
          <cell r="Z204" t="str">
            <v>Bilateral</v>
          </cell>
        </row>
        <row r="205">
          <cell r="F205" t="str">
            <v>ESTRE</v>
          </cell>
          <cell r="G205"/>
          <cell r="H205" t="str">
            <v>248</v>
          </cell>
          <cell r="I205" t="str">
            <v>02</v>
          </cell>
          <cell r="J205" t="str">
            <v>x</v>
          </cell>
          <cell r="K205" t="str">
            <v>YES</v>
          </cell>
          <cell r="L205" t="str">
            <v>YES</v>
          </cell>
          <cell r="M205" t="str">
            <v>YES</v>
          </cell>
          <cell r="N205" t="str">
            <v>YES</v>
          </cell>
          <cell r="O205" t="str">
            <v>YES</v>
          </cell>
          <cell r="P205" t="str">
            <v>YES</v>
          </cell>
          <cell r="Q205" t="str">
            <v>YES</v>
          </cell>
          <cell r="R205" t="str">
            <v>YES</v>
          </cell>
          <cell r="S205" t="str">
            <v>YES</v>
          </cell>
          <cell r="T205" t="str">
            <v>YES</v>
          </cell>
          <cell r="U205"/>
          <cell r="V205"/>
          <cell r="W205"/>
          <cell r="X205"/>
          <cell r="Y205" t="str">
            <v>Live</v>
          </cell>
          <cell r="Z205" t="str">
            <v>Bilateral</v>
          </cell>
        </row>
        <row r="206">
          <cell r="F206" t="str">
            <v>FINRL</v>
          </cell>
          <cell r="G206"/>
          <cell r="H206" t="str">
            <v>244</v>
          </cell>
          <cell r="I206" t="str">
            <v>05</v>
          </cell>
          <cell r="J206" t="str">
            <v>x</v>
          </cell>
          <cell r="K206" t="str">
            <v>YES</v>
          </cell>
          <cell r="L206" t="str">
            <v>YES</v>
          </cell>
          <cell r="M206" t="str">
            <v>N.A</v>
          </cell>
          <cell r="N206" t="str">
            <v>YES</v>
          </cell>
          <cell r="O206" t="str">
            <v>YES</v>
          </cell>
          <cell r="P206" t="str">
            <v>YES</v>
          </cell>
          <cell r="Q206" t="str">
            <v>YES</v>
          </cell>
          <cell r="R206" t="str">
            <v>YES</v>
          </cell>
          <cell r="S206" t="str">
            <v>YES</v>
          </cell>
          <cell r="T206" t="str">
            <v>YES</v>
          </cell>
          <cell r="U206"/>
          <cell r="V206"/>
          <cell r="W206"/>
          <cell r="X206"/>
          <cell r="Y206" t="str">
            <v>Live</v>
          </cell>
          <cell r="Z206" t="str">
            <v>Bilateral</v>
          </cell>
        </row>
        <row r="207">
          <cell r="F207" t="str">
            <v>FINES</v>
          </cell>
          <cell r="G207"/>
          <cell r="H207" t="str">
            <v>244</v>
          </cell>
          <cell r="I207" t="str">
            <v>21</v>
          </cell>
          <cell r="J207" t="str">
            <v>x</v>
          </cell>
          <cell r="K207" t="str">
            <v>YES</v>
          </cell>
          <cell r="L207" t="str">
            <v>YES</v>
          </cell>
          <cell r="M207" t="str">
            <v>N.A</v>
          </cell>
          <cell r="N207"/>
          <cell r="O207" t="str">
            <v>YES</v>
          </cell>
          <cell r="P207" t="str">
            <v>YES</v>
          </cell>
          <cell r="Q207" t="str">
            <v>YES</v>
          </cell>
          <cell r="R207" t="str">
            <v>YES</v>
          </cell>
          <cell r="S207" t="str">
            <v>YES</v>
          </cell>
          <cell r="T207" t="str">
            <v>YES</v>
          </cell>
          <cell r="U207"/>
          <cell r="V207"/>
          <cell r="W207"/>
          <cell r="X207"/>
          <cell r="Y207" t="str">
            <v>Live</v>
          </cell>
          <cell r="Z207" t="str">
            <v>Bilateral</v>
          </cell>
        </row>
        <row r="208">
          <cell r="F208" t="str">
            <v>EMNDE</v>
          </cell>
          <cell r="G208"/>
          <cell r="H208" t="str">
            <v>901</v>
          </cell>
          <cell r="I208" t="str">
            <v>43</v>
          </cell>
          <cell r="J208" t="str">
            <v>x</v>
          </cell>
          <cell r="K208" t="str">
            <v>YES</v>
          </cell>
          <cell r="L208" t="str">
            <v>N.A</v>
          </cell>
          <cell r="M208" t="str">
            <v>YES</v>
          </cell>
          <cell r="N208" t="str">
            <v>N.A</v>
          </cell>
          <cell r="O208" t="str">
            <v>YES</v>
          </cell>
          <cell r="P208" t="str">
            <v>N.A</v>
          </cell>
          <cell r="Q208" t="str">
            <v>YES</v>
          </cell>
          <cell r="R208" t="str">
            <v>N.A</v>
          </cell>
          <cell r="S208" t="str">
            <v>YES</v>
          </cell>
          <cell r="T208" t="str">
            <v>N.A</v>
          </cell>
          <cell r="U208"/>
          <cell r="V208"/>
          <cell r="W208"/>
          <cell r="X208"/>
          <cell r="Y208" t="str">
            <v>Live</v>
          </cell>
          <cell r="Z208" t="str">
            <v>Bilateral</v>
          </cell>
        </row>
        <row r="209">
          <cell r="F209" t="str">
            <v>CHLMV</v>
          </cell>
          <cell r="G209" t="str">
            <v>CHLK9</v>
          </cell>
          <cell r="H209" t="str">
            <v>730</v>
          </cell>
          <cell r="I209" t="str">
            <v>01</v>
          </cell>
          <cell r="J209" t="str">
            <v>x</v>
          </cell>
          <cell r="K209" t="str">
            <v>YES</v>
          </cell>
          <cell r="L209" t="str">
            <v>YES</v>
          </cell>
          <cell r="M209" t="str">
            <v>YES</v>
          </cell>
          <cell r="N209" t="str">
            <v>YES</v>
          </cell>
          <cell r="O209" t="str">
            <v>YES</v>
          </cell>
          <cell r="P209" t="str">
            <v>YES</v>
          </cell>
          <cell r="Q209" t="str">
            <v>YES</v>
          </cell>
          <cell r="R209" t="str">
            <v>YES</v>
          </cell>
          <cell r="S209" t="str">
            <v>YES</v>
          </cell>
          <cell r="T209" t="str">
            <v>YES</v>
          </cell>
          <cell r="U209"/>
          <cell r="V209"/>
          <cell r="W209"/>
          <cell r="X209"/>
          <cell r="Y209" t="str">
            <v>Live</v>
          </cell>
          <cell r="Z209" t="str">
            <v>Comfone</v>
          </cell>
        </row>
        <row r="210">
          <cell r="F210" t="str">
            <v>PERN3</v>
          </cell>
          <cell r="G210" t="str">
            <v>PERK9</v>
          </cell>
          <cell r="H210" t="str">
            <v>716</v>
          </cell>
          <cell r="I210" t="str">
            <v>17</v>
          </cell>
          <cell r="J210" t="str">
            <v>x</v>
          </cell>
          <cell r="K210" t="str">
            <v>YES</v>
          </cell>
          <cell r="L210" t="str">
            <v>YES</v>
          </cell>
          <cell r="M210" t="str">
            <v>N.A</v>
          </cell>
          <cell r="N210" t="str">
            <v>YES</v>
          </cell>
          <cell r="O210" t="str">
            <v>YES</v>
          </cell>
          <cell r="P210" t="str">
            <v>YES</v>
          </cell>
          <cell r="Q210" t="str">
            <v>YES</v>
          </cell>
          <cell r="R210" t="str">
            <v>YES</v>
          </cell>
          <cell r="S210" t="str">
            <v>YES</v>
          </cell>
          <cell r="T210" t="str">
            <v>YES</v>
          </cell>
          <cell r="U210"/>
          <cell r="V210"/>
          <cell r="W210"/>
          <cell r="X210"/>
          <cell r="Y210" t="str">
            <v>Live</v>
          </cell>
          <cell r="Z210" t="str">
            <v>Comfone</v>
          </cell>
        </row>
        <row r="211">
          <cell r="F211" t="str">
            <v>CYPSC</v>
          </cell>
          <cell r="G211"/>
          <cell r="H211" t="str">
            <v>280</v>
          </cell>
          <cell r="I211" t="str">
            <v>10</v>
          </cell>
          <cell r="J211" t="str">
            <v>x</v>
          </cell>
          <cell r="K211" t="str">
            <v>YES</v>
          </cell>
          <cell r="L211" t="str">
            <v>YES</v>
          </cell>
          <cell r="M211" t="str">
            <v>YES</v>
          </cell>
          <cell r="N211" t="str">
            <v>YES</v>
          </cell>
          <cell r="O211" t="str">
            <v>YES</v>
          </cell>
          <cell r="P211" t="str">
            <v>YES</v>
          </cell>
          <cell r="Q211" t="str">
            <v>YES</v>
          </cell>
          <cell r="R211" t="str">
            <v>YES</v>
          </cell>
          <cell r="S211" t="str">
            <v>YES</v>
          </cell>
          <cell r="T211" t="str">
            <v>YES</v>
          </cell>
          <cell r="U211"/>
          <cell r="V211"/>
          <cell r="W211"/>
          <cell r="X211"/>
          <cell r="Y211" t="str">
            <v>Live</v>
          </cell>
          <cell r="Z211" t="str">
            <v>Bilateral</v>
          </cell>
        </row>
        <row r="212">
          <cell r="F212" t="str">
            <v>MLTTL</v>
          </cell>
          <cell r="G212"/>
          <cell r="H212" t="str">
            <v>278</v>
          </cell>
          <cell r="I212" t="str">
            <v>01</v>
          </cell>
          <cell r="J212" t="str">
            <v>x</v>
          </cell>
          <cell r="K212" t="str">
            <v>YES</v>
          </cell>
          <cell r="L212" t="str">
            <v>YES</v>
          </cell>
          <cell r="M212" t="str">
            <v>YES</v>
          </cell>
          <cell r="N212" t="str">
            <v>YES</v>
          </cell>
          <cell r="O212" t="str">
            <v>YES</v>
          </cell>
          <cell r="P212" t="str">
            <v>YES</v>
          </cell>
          <cell r="Q212" t="str">
            <v>YES</v>
          </cell>
          <cell r="R212" t="str">
            <v>YES</v>
          </cell>
          <cell r="S212" t="str">
            <v>YES</v>
          </cell>
          <cell r="T212" t="str">
            <v>YES</v>
          </cell>
          <cell r="U212"/>
          <cell r="V212"/>
          <cell r="W212"/>
          <cell r="X212"/>
          <cell r="Y212" t="str">
            <v>Live</v>
          </cell>
          <cell r="Z212" t="str">
            <v>Bilateral</v>
          </cell>
        </row>
        <row r="213">
          <cell r="F213" t="str">
            <v>CUB01</v>
          </cell>
          <cell r="G213"/>
          <cell r="H213" t="str">
            <v>368</v>
          </cell>
          <cell r="I213" t="str">
            <v>01</v>
          </cell>
          <cell r="J213" t="str">
            <v>x</v>
          </cell>
          <cell r="K213"/>
          <cell r="L213" t="str">
            <v>YES</v>
          </cell>
          <cell r="M213"/>
          <cell r="N213" t="str">
            <v>YES</v>
          </cell>
          <cell r="O213"/>
          <cell r="P213" t="str">
            <v>YES</v>
          </cell>
          <cell r="Q213"/>
          <cell r="R213" t="str">
            <v>YES</v>
          </cell>
          <cell r="S213"/>
          <cell r="T213" t="str">
            <v>YES</v>
          </cell>
          <cell r="U213"/>
          <cell r="V213"/>
          <cell r="W213"/>
          <cell r="X213"/>
          <cell r="Y213" t="str">
            <v>Live</v>
          </cell>
          <cell r="Z213" t="str">
            <v>Bilateral</v>
          </cell>
        </row>
        <row r="214">
          <cell r="F214" t="str">
            <v>ETH01</v>
          </cell>
          <cell r="G214"/>
          <cell r="H214" t="str">
            <v>636</v>
          </cell>
          <cell r="I214" t="str">
            <v>01</v>
          </cell>
          <cell r="J214" t="str">
            <v>x</v>
          </cell>
          <cell r="K214" t="str">
            <v>YES</v>
          </cell>
          <cell r="L214" t="str">
            <v>YES</v>
          </cell>
          <cell r="M214" t="str">
            <v>YES</v>
          </cell>
          <cell r="N214" t="str">
            <v>YES</v>
          </cell>
          <cell r="O214" t="str">
            <v>YES</v>
          </cell>
          <cell r="P214" t="str">
            <v>YES</v>
          </cell>
          <cell r="Q214" t="str">
            <v>YES</v>
          </cell>
          <cell r="R214" t="str">
            <v>YES</v>
          </cell>
          <cell r="S214" t="str">
            <v>YES</v>
          </cell>
          <cell r="T214" t="str">
            <v>YES</v>
          </cell>
          <cell r="U214"/>
          <cell r="V214"/>
          <cell r="W214"/>
          <cell r="X214"/>
          <cell r="Y214" t="str">
            <v>Live</v>
          </cell>
          <cell r="Z214" t="str">
            <v>Bilateral</v>
          </cell>
        </row>
        <row r="215">
          <cell r="F215" t="str">
            <v>AFGEA</v>
          </cell>
          <cell r="G215"/>
          <cell r="H215" t="str">
            <v>412</v>
          </cell>
          <cell r="I215" t="str">
            <v>50</v>
          </cell>
          <cell r="J215" t="str">
            <v>x</v>
          </cell>
          <cell r="K215" t="str">
            <v>YES</v>
          </cell>
          <cell r="L215" t="str">
            <v>YES</v>
          </cell>
          <cell r="M215" t="str">
            <v>YES</v>
          </cell>
          <cell r="N215" t="str">
            <v>YES</v>
          </cell>
          <cell r="O215" t="str">
            <v>YES</v>
          </cell>
          <cell r="P215" t="str">
            <v>YES</v>
          </cell>
          <cell r="Q215" t="str">
            <v>N.A</v>
          </cell>
          <cell r="R215"/>
          <cell r="S215"/>
          <cell r="T215"/>
          <cell r="U215"/>
          <cell r="V215"/>
          <cell r="W215"/>
          <cell r="X215"/>
          <cell r="Y215" t="str">
            <v>Live</v>
          </cell>
          <cell r="Z215" t="str">
            <v>Bilateral</v>
          </cell>
        </row>
        <row r="216">
          <cell r="F216" t="str">
            <v>BEN02</v>
          </cell>
          <cell r="G216" t="str">
            <v>BENFT</v>
          </cell>
          <cell r="H216" t="str">
            <v>616</v>
          </cell>
          <cell r="I216" t="str">
            <v>02</v>
          </cell>
          <cell r="J216" t="str">
            <v>x</v>
          </cell>
          <cell r="K216" t="str">
            <v>YES</v>
          </cell>
          <cell r="L216" t="str">
            <v>YES</v>
          </cell>
          <cell r="M216" t="str">
            <v>YES</v>
          </cell>
          <cell r="N216" t="str">
            <v>YES</v>
          </cell>
          <cell r="O216" t="str">
            <v>YES</v>
          </cell>
          <cell r="P216" t="str">
            <v>YES</v>
          </cell>
          <cell r="Q216" t="str">
            <v>YES</v>
          </cell>
          <cell r="R216" t="str">
            <v>YES</v>
          </cell>
          <cell r="S216" t="str">
            <v>YES</v>
          </cell>
          <cell r="T216" t="str">
            <v>YES</v>
          </cell>
          <cell r="U216"/>
          <cell r="V216"/>
          <cell r="W216"/>
          <cell r="X216"/>
          <cell r="Y216" t="str">
            <v>Live</v>
          </cell>
          <cell r="Z216" t="str">
            <v>Orange Hub</v>
          </cell>
        </row>
        <row r="217">
          <cell r="F217" t="str">
            <v>EGYEM</v>
          </cell>
          <cell r="G217"/>
          <cell r="H217" t="str">
            <v>602</v>
          </cell>
          <cell r="I217" t="str">
            <v>03</v>
          </cell>
          <cell r="J217" t="str">
            <v>x</v>
          </cell>
          <cell r="K217" t="str">
            <v>YES</v>
          </cell>
          <cell r="L217" t="str">
            <v>YES</v>
          </cell>
          <cell r="M217" t="str">
            <v>YES</v>
          </cell>
          <cell r="N217" t="str">
            <v>YES</v>
          </cell>
          <cell r="O217" t="str">
            <v>YES</v>
          </cell>
          <cell r="P217" t="str">
            <v>YES</v>
          </cell>
          <cell r="Q217" t="str">
            <v>YES</v>
          </cell>
          <cell r="R217" t="str">
            <v>YES</v>
          </cell>
          <cell r="S217" t="str">
            <v>YES</v>
          </cell>
          <cell r="T217" t="str">
            <v>YES</v>
          </cell>
          <cell r="U217"/>
          <cell r="V217"/>
          <cell r="W217"/>
          <cell r="X217"/>
          <cell r="Y217" t="str">
            <v>Live</v>
          </cell>
          <cell r="Z217" t="str">
            <v>Bilateral</v>
          </cell>
        </row>
        <row r="218">
          <cell r="F218" t="str">
            <v>ARETC</v>
          </cell>
          <cell r="G218"/>
          <cell r="H218" t="str">
            <v>424</v>
          </cell>
          <cell r="I218" t="str">
            <v>02</v>
          </cell>
          <cell r="J218" t="str">
            <v>x</v>
          </cell>
          <cell r="K218" t="str">
            <v>YES</v>
          </cell>
          <cell r="L218" t="str">
            <v>YES</v>
          </cell>
          <cell r="M218" t="str">
            <v>YES</v>
          </cell>
          <cell r="N218" t="str">
            <v>YES</v>
          </cell>
          <cell r="O218" t="str">
            <v>YES</v>
          </cell>
          <cell r="P218" t="str">
            <v>YES</v>
          </cell>
          <cell r="Q218" t="str">
            <v>YES</v>
          </cell>
          <cell r="R218" t="str">
            <v>YES</v>
          </cell>
          <cell r="S218" t="str">
            <v>YES</v>
          </cell>
          <cell r="T218" t="str">
            <v>YES</v>
          </cell>
          <cell r="U218"/>
          <cell r="V218"/>
          <cell r="W218"/>
          <cell r="X218"/>
          <cell r="Y218" t="str">
            <v>Live</v>
          </cell>
          <cell r="Z218" t="str">
            <v>Bilateral</v>
          </cell>
        </row>
        <row r="219">
          <cell r="F219" t="str">
            <v>POLEZ</v>
          </cell>
          <cell r="G219" t="str">
            <v>POLK8</v>
          </cell>
          <cell r="H219">
            <v>260</v>
          </cell>
          <cell r="I219" t="str">
            <v>41</v>
          </cell>
          <cell r="J219" t="str">
            <v>x</v>
          </cell>
          <cell r="K219" t="str">
            <v>YES</v>
          </cell>
          <cell r="L219" t="str">
            <v>N.A</v>
          </cell>
          <cell r="M219" t="str">
            <v>N.A</v>
          </cell>
          <cell r="N219" t="str">
            <v>N.A</v>
          </cell>
          <cell r="O219" t="str">
            <v>N.A</v>
          </cell>
          <cell r="P219" t="str">
            <v>N.A</v>
          </cell>
          <cell r="Q219" t="str">
            <v>N.A</v>
          </cell>
          <cell r="R219" t="str">
            <v>N.A</v>
          </cell>
          <cell r="S219" t="str">
            <v>N.A</v>
          </cell>
          <cell r="T219" t="str">
            <v>N.A</v>
          </cell>
          <cell r="U219"/>
          <cell r="V219"/>
          <cell r="W219"/>
          <cell r="X219"/>
          <cell r="Y219" t="str">
            <v>Terminated</v>
          </cell>
          <cell r="Z219" t="str">
            <v>Comfone</v>
          </cell>
        </row>
        <row r="220">
          <cell r="F220" t="str">
            <v>TWNFE</v>
          </cell>
          <cell r="G220" t="str">
            <v>TWNK8</v>
          </cell>
          <cell r="H220" t="str">
            <v>466</v>
          </cell>
          <cell r="I220" t="str">
            <v>01</v>
          </cell>
          <cell r="J220" t="str">
            <v>x</v>
          </cell>
          <cell r="K220" t="str">
            <v>YES</v>
          </cell>
          <cell r="L220" t="str">
            <v>YES</v>
          </cell>
          <cell r="M220" t="str">
            <v>N.A</v>
          </cell>
          <cell r="N220"/>
          <cell r="O220" t="str">
            <v>YES</v>
          </cell>
          <cell r="P220" t="str">
            <v>YES</v>
          </cell>
          <cell r="Q220" t="str">
            <v>YES</v>
          </cell>
          <cell r="R220" t="str">
            <v>YES</v>
          </cell>
          <cell r="S220" t="str">
            <v>YES</v>
          </cell>
          <cell r="T220" t="str">
            <v>YES</v>
          </cell>
          <cell r="U220"/>
          <cell r="V220"/>
          <cell r="W220"/>
          <cell r="X220"/>
          <cell r="Y220" t="str">
            <v>Live</v>
          </cell>
          <cell r="Z220" t="str">
            <v>Comfone</v>
          </cell>
        </row>
        <row r="221">
          <cell r="F221" t="str">
            <v>FRAFM</v>
          </cell>
          <cell r="G221"/>
          <cell r="H221" t="str">
            <v>208</v>
          </cell>
          <cell r="I221" t="str">
            <v>15</v>
          </cell>
          <cell r="J221" t="str">
            <v>x</v>
          </cell>
          <cell r="K221" t="str">
            <v>YES</v>
          </cell>
          <cell r="L221" t="str">
            <v>YES</v>
          </cell>
          <cell r="M221" t="str">
            <v>YES</v>
          </cell>
          <cell r="N221" t="str">
            <v>YES</v>
          </cell>
          <cell r="O221" t="str">
            <v>YES</v>
          </cell>
          <cell r="P221" t="str">
            <v>YES</v>
          </cell>
          <cell r="Q221" t="str">
            <v>YES</v>
          </cell>
          <cell r="R221" t="str">
            <v>YES</v>
          </cell>
          <cell r="S221" t="str">
            <v>YES</v>
          </cell>
          <cell r="T221" t="str">
            <v>YES</v>
          </cell>
          <cell r="U221"/>
          <cell r="V221"/>
          <cell r="W221"/>
          <cell r="X221"/>
          <cell r="Y221" t="str">
            <v>Live</v>
          </cell>
          <cell r="Z221" t="str">
            <v>Bilateral</v>
          </cell>
        </row>
        <row r="222">
          <cell r="F222" t="str">
            <v>GMB01</v>
          </cell>
          <cell r="G222" t="str">
            <v>GMBK9</v>
          </cell>
          <cell r="H222" t="str">
            <v>607</v>
          </cell>
          <cell r="I222" t="str">
            <v>01</v>
          </cell>
          <cell r="J222" t="str">
            <v>x</v>
          </cell>
          <cell r="K222" t="str">
            <v>YES</v>
          </cell>
          <cell r="L222" t="str">
            <v>YES</v>
          </cell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 t="str">
            <v>Live</v>
          </cell>
          <cell r="Z222" t="str">
            <v>Comfone</v>
          </cell>
        </row>
        <row r="223">
          <cell r="F223" t="str">
            <v>SSDGM</v>
          </cell>
          <cell r="G223" t="str">
            <v>SSDK9</v>
          </cell>
          <cell r="H223" t="str">
            <v>659</v>
          </cell>
          <cell r="I223" t="str">
            <v>03</v>
          </cell>
          <cell r="J223" t="str">
            <v>x</v>
          </cell>
          <cell r="K223"/>
          <cell r="L223" t="str">
            <v>YES</v>
          </cell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 t="str">
            <v>Live</v>
          </cell>
          <cell r="Z223" t="str">
            <v>Comfone</v>
          </cell>
        </row>
        <row r="224">
          <cell r="F224" t="str">
            <v>GIBGT</v>
          </cell>
          <cell r="G224" t="str">
            <v xml:space="preserve">GIBK6 </v>
          </cell>
          <cell r="H224" t="str">
            <v>266</v>
          </cell>
          <cell r="I224" t="str">
            <v>01</v>
          </cell>
          <cell r="J224" t="str">
            <v>x</v>
          </cell>
          <cell r="K224" t="str">
            <v>YES</v>
          </cell>
          <cell r="L224" t="str">
            <v>YES</v>
          </cell>
          <cell r="M224" t="str">
            <v>YES</v>
          </cell>
          <cell r="N224" t="str">
            <v>YES</v>
          </cell>
          <cell r="O224" t="str">
            <v>YES</v>
          </cell>
          <cell r="P224" t="str">
            <v>YES</v>
          </cell>
          <cell r="Q224" t="str">
            <v>YES</v>
          </cell>
          <cell r="R224" t="str">
            <v>YES</v>
          </cell>
          <cell r="S224" t="str">
            <v>YES</v>
          </cell>
          <cell r="T224" t="str">
            <v>YES</v>
          </cell>
          <cell r="U224"/>
          <cell r="V224"/>
          <cell r="W224"/>
          <cell r="X224"/>
          <cell r="Y224" t="str">
            <v>Live</v>
          </cell>
          <cell r="Z224" t="str">
            <v>Comfone</v>
          </cell>
        </row>
        <row r="225">
          <cell r="F225" t="str">
            <v>GHAGM</v>
          </cell>
          <cell r="G225"/>
          <cell r="H225" t="str">
            <v>620</v>
          </cell>
          <cell r="I225" t="str">
            <v>07</v>
          </cell>
          <cell r="J225" t="str">
            <v>x</v>
          </cell>
          <cell r="K225" t="str">
            <v>YES</v>
          </cell>
          <cell r="L225" t="str">
            <v>N.A</v>
          </cell>
          <cell r="M225" t="str">
            <v>YES</v>
          </cell>
          <cell r="N225" t="str">
            <v>N.A</v>
          </cell>
          <cell r="O225" t="str">
            <v>YES</v>
          </cell>
          <cell r="P225" t="str">
            <v>N.A</v>
          </cell>
          <cell r="Q225" t="str">
            <v>YES</v>
          </cell>
          <cell r="R225" t="str">
            <v>N.A</v>
          </cell>
          <cell r="S225" t="str">
            <v>N.A</v>
          </cell>
          <cell r="T225" t="str">
            <v>N.A</v>
          </cell>
          <cell r="U225"/>
          <cell r="V225"/>
          <cell r="W225"/>
          <cell r="X225"/>
          <cell r="Y225" t="str">
            <v>Live</v>
          </cell>
          <cell r="Z225" t="str">
            <v>Bilateral</v>
          </cell>
        </row>
        <row r="226">
          <cell r="F226" t="str">
            <v>NGAGM</v>
          </cell>
          <cell r="G226" t="str">
            <v>NGAK7</v>
          </cell>
          <cell r="H226" t="str">
            <v>621</v>
          </cell>
          <cell r="I226" t="str">
            <v>50</v>
          </cell>
          <cell r="J226" t="str">
            <v>x</v>
          </cell>
          <cell r="K226" t="str">
            <v>YES</v>
          </cell>
          <cell r="L226" t="str">
            <v>YES</v>
          </cell>
          <cell r="M226" t="str">
            <v>YES</v>
          </cell>
          <cell r="N226" t="str">
            <v>YES</v>
          </cell>
          <cell r="O226" t="str">
            <v>YES</v>
          </cell>
          <cell r="P226" t="str">
            <v>YES</v>
          </cell>
          <cell r="Q226" t="str">
            <v>YES</v>
          </cell>
          <cell r="R226" t="str">
            <v>YES</v>
          </cell>
          <cell r="S226" t="str">
            <v>YES</v>
          </cell>
          <cell r="T226" t="str">
            <v>YES</v>
          </cell>
          <cell r="U226"/>
          <cell r="V226"/>
          <cell r="W226"/>
          <cell r="X226"/>
          <cell r="Y226" t="str">
            <v>Live</v>
          </cell>
          <cell r="Z226" t="str">
            <v>Comfone</v>
          </cell>
        </row>
        <row r="227">
          <cell r="F227" t="str">
            <v>RUS84</v>
          </cell>
          <cell r="G227" t="str">
            <v>RUSK4</v>
          </cell>
          <cell r="H227">
            <v>250</v>
          </cell>
          <cell r="I227" t="str">
            <v>48</v>
          </cell>
          <cell r="J227" t="str">
            <v>x</v>
          </cell>
          <cell r="K227" t="str">
            <v>YES</v>
          </cell>
          <cell r="L227" t="str">
            <v>N.A</v>
          </cell>
          <cell r="M227" t="str">
            <v>N.A</v>
          </cell>
          <cell r="N227" t="str">
            <v>N.A</v>
          </cell>
          <cell r="O227" t="str">
            <v>YES</v>
          </cell>
          <cell r="P227" t="str">
            <v>N.A</v>
          </cell>
          <cell r="Q227" t="str">
            <v>YES</v>
          </cell>
          <cell r="R227" t="str">
            <v>N.A</v>
          </cell>
          <cell r="S227" t="str">
            <v>N.A</v>
          </cell>
          <cell r="T227" t="str">
            <v>N.A</v>
          </cell>
          <cell r="U227"/>
          <cell r="V227"/>
          <cell r="W227"/>
          <cell r="X227"/>
          <cell r="Y227" t="str">
            <v>Live</v>
          </cell>
          <cell r="Z227" t="str">
            <v>Comfone</v>
          </cell>
        </row>
        <row r="228">
          <cell r="F228" t="str">
            <v>PHLGT</v>
          </cell>
          <cell r="G228"/>
          <cell r="H228" t="str">
            <v>515</v>
          </cell>
          <cell r="I228" t="str">
            <v>02</v>
          </cell>
          <cell r="J228" t="str">
            <v>x</v>
          </cell>
          <cell r="K228" t="str">
            <v>YES</v>
          </cell>
          <cell r="L228" t="str">
            <v>YES</v>
          </cell>
          <cell r="M228"/>
          <cell r="N228" t="str">
            <v>YES</v>
          </cell>
          <cell r="O228" t="str">
            <v>YES</v>
          </cell>
          <cell r="P228" t="str">
            <v>YES</v>
          </cell>
          <cell r="Q228" t="str">
            <v>YES</v>
          </cell>
          <cell r="R228" t="str">
            <v>YES</v>
          </cell>
          <cell r="S228" t="str">
            <v>YES</v>
          </cell>
          <cell r="T228"/>
          <cell r="U228"/>
          <cell r="V228"/>
          <cell r="W228"/>
          <cell r="X228"/>
          <cell r="Y228" t="str">
            <v>Live</v>
          </cell>
          <cell r="Z228" t="str">
            <v>Bilateral</v>
          </cell>
        </row>
        <row r="229">
          <cell r="F229" t="str">
            <v>MLTGO</v>
          </cell>
          <cell r="G229"/>
          <cell r="H229" t="str">
            <v>278</v>
          </cell>
          <cell r="I229" t="str">
            <v>21</v>
          </cell>
          <cell r="J229" t="str">
            <v>x</v>
          </cell>
          <cell r="K229" t="str">
            <v>YES</v>
          </cell>
          <cell r="L229" t="str">
            <v>YES</v>
          </cell>
          <cell r="M229" t="str">
            <v>YES</v>
          </cell>
          <cell r="N229" t="str">
            <v>YES</v>
          </cell>
          <cell r="O229" t="str">
            <v>YES</v>
          </cell>
          <cell r="P229" t="str">
            <v>YES</v>
          </cell>
          <cell r="Q229" t="str">
            <v>YES</v>
          </cell>
          <cell r="R229" t="str">
            <v>YES</v>
          </cell>
          <cell r="S229"/>
          <cell r="T229"/>
          <cell r="U229"/>
          <cell r="V229"/>
          <cell r="W229"/>
          <cell r="X229"/>
          <cell r="Y229" t="str">
            <v>Live</v>
          </cell>
          <cell r="Z229" t="str">
            <v>Bilateral</v>
          </cell>
        </row>
        <row r="230">
          <cell r="F230" t="str">
            <v>VNMBL</v>
          </cell>
          <cell r="G230"/>
          <cell r="H230" t="str">
            <v>452</v>
          </cell>
          <cell r="I230" t="str">
            <v>07</v>
          </cell>
          <cell r="J230"/>
          <cell r="K230" t="str">
            <v>YES</v>
          </cell>
          <cell r="L230" t="str">
            <v>YES</v>
          </cell>
          <cell r="M230" t="str">
            <v>YES</v>
          </cell>
          <cell r="N230" t="str">
            <v>YES</v>
          </cell>
          <cell r="O230" t="str">
            <v>YES</v>
          </cell>
          <cell r="P230" t="str">
            <v>Arrêté</v>
          </cell>
          <cell r="Q230" t="str">
            <v>N.A</v>
          </cell>
          <cell r="R230" t="str">
            <v>Arrêté</v>
          </cell>
          <cell r="S230"/>
          <cell r="T230"/>
          <cell r="U230"/>
          <cell r="V230"/>
          <cell r="W230"/>
          <cell r="X230"/>
          <cell r="Y230" t="str">
            <v>Live</v>
          </cell>
          <cell r="Z230" t="str">
            <v>Bilateral</v>
          </cell>
        </row>
        <row r="231">
          <cell r="F231" t="str">
            <v>GUYGT</v>
          </cell>
          <cell r="G231" t="str">
            <v>GUYK8</v>
          </cell>
          <cell r="H231" t="str">
            <v>738</v>
          </cell>
          <cell r="I231" t="str">
            <v>002</v>
          </cell>
          <cell r="J231" t="str">
            <v>x</v>
          </cell>
          <cell r="K231"/>
          <cell r="L231" t="str">
            <v>YES</v>
          </cell>
          <cell r="M231"/>
          <cell r="N231" t="str">
            <v>YES</v>
          </cell>
          <cell r="O231"/>
          <cell r="P231" t="str">
            <v>YES</v>
          </cell>
          <cell r="Q231"/>
          <cell r="R231" t="str">
            <v>YES</v>
          </cell>
          <cell r="S231"/>
          <cell r="T231" t="str">
            <v>YES</v>
          </cell>
          <cell r="U231"/>
          <cell r="V231"/>
          <cell r="W231"/>
          <cell r="X231"/>
          <cell r="Y231" t="str">
            <v>Live</v>
          </cell>
          <cell r="Z231" t="str">
            <v>Comfone</v>
          </cell>
        </row>
        <row r="232">
          <cell r="F232" t="str">
            <v>AUTCA</v>
          </cell>
          <cell r="G232"/>
          <cell r="H232" t="str">
            <v>232</v>
          </cell>
          <cell r="I232" t="str">
            <v>05</v>
          </cell>
          <cell r="J232" t="str">
            <v>x</v>
          </cell>
          <cell r="K232" t="str">
            <v>YES</v>
          </cell>
          <cell r="L232" t="str">
            <v>YES</v>
          </cell>
          <cell r="M232" t="str">
            <v>YES</v>
          </cell>
          <cell r="N232" t="str">
            <v>YES</v>
          </cell>
          <cell r="O232" t="str">
            <v>YES</v>
          </cell>
          <cell r="P232" t="str">
            <v>YES</v>
          </cell>
          <cell r="Q232" t="str">
            <v>YES</v>
          </cell>
          <cell r="R232" t="str">
            <v>YES</v>
          </cell>
          <cell r="S232" t="str">
            <v>YES</v>
          </cell>
          <cell r="T232" t="str">
            <v>YES</v>
          </cell>
          <cell r="U232"/>
          <cell r="V232"/>
          <cell r="W232"/>
          <cell r="X232"/>
          <cell r="Y232" t="str">
            <v>Live</v>
          </cell>
          <cell r="Z232" t="str">
            <v>Bilateral</v>
          </cell>
        </row>
        <row r="233">
          <cell r="F233" t="str">
            <v>AUTHU</v>
          </cell>
          <cell r="G233"/>
          <cell r="H233" t="str">
            <v>232</v>
          </cell>
          <cell r="I233" t="str">
            <v>10</v>
          </cell>
          <cell r="J233" t="str">
            <v>x</v>
          </cell>
          <cell r="K233" t="str">
            <v>YES</v>
          </cell>
          <cell r="L233"/>
          <cell r="M233" t="str">
            <v>YES</v>
          </cell>
          <cell r="N233"/>
          <cell r="O233" t="str">
            <v>YES</v>
          </cell>
          <cell r="P233"/>
          <cell r="Q233" t="str">
            <v>YES</v>
          </cell>
          <cell r="R233"/>
          <cell r="S233" t="str">
            <v>YES</v>
          </cell>
          <cell r="T233"/>
          <cell r="U233"/>
          <cell r="V233"/>
          <cell r="W233"/>
          <cell r="X233"/>
          <cell r="Y233" t="str">
            <v>Live</v>
          </cell>
          <cell r="Z233" t="str">
            <v>Bilateral</v>
          </cell>
        </row>
        <row r="234">
          <cell r="F234" t="str">
            <v>IDN89</v>
          </cell>
          <cell r="G234" t="str">
            <v>IDNK6</v>
          </cell>
          <cell r="H234" t="str">
            <v>510</v>
          </cell>
          <cell r="I234" t="str">
            <v>89</v>
          </cell>
          <cell r="J234"/>
          <cell r="K234" t="str">
            <v>N.A</v>
          </cell>
          <cell r="L234" t="str">
            <v>YES</v>
          </cell>
          <cell r="M234" t="str">
            <v>N.A</v>
          </cell>
          <cell r="N234" t="str">
            <v>YES</v>
          </cell>
          <cell r="O234" t="str">
            <v>N.A</v>
          </cell>
          <cell r="P234" t="str">
            <v>YES</v>
          </cell>
          <cell r="Q234" t="str">
            <v>N.A</v>
          </cell>
          <cell r="R234" t="str">
            <v>YES</v>
          </cell>
          <cell r="S234" t="str">
            <v>N.A</v>
          </cell>
          <cell r="T234" t="str">
            <v>YES</v>
          </cell>
          <cell r="U234"/>
          <cell r="V234"/>
          <cell r="W234"/>
          <cell r="X234"/>
          <cell r="Y234" t="str">
            <v>Live</v>
          </cell>
          <cell r="Z234" t="str">
            <v>Bilateral</v>
          </cell>
        </row>
        <row r="235">
          <cell r="F235" t="str">
            <v>IRLDF</v>
          </cell>
          <cell r="G235"/>
          <cell r="H235" t="str">
            <v>272</v>
          </cell>
          <cell r="I235" t="str">
            <v>02</v>
          </cell>
          <cell r="J235" t="str">
            <v>x</v>
          </cell>
          <cell r="K235" t="str">
            <v>YES</v>
          </cell>
          <cell r="L235" t="str">
            <v>YES</v>
          </cell>
          <cell r="M235"/>
          <cell r="N235"/>
          <cell r="O235" t="str">
            <v>YES</v>
          </cell>
          <cell r="P235" t="str">
            <v>YES</v>
          </cell>
          <cell r="Q235" t="str">
            <v>YES</v>
          </cell>
          <cell r="R235" t="str">
            <v>YES</v>
          </cell>
          <cell r="S235"/>
          <cell r="T235"/>
          <cell r="U235"/>
          <cell r="V235"/>
          <cell r="W235"/>
          <cell r="X235"/>
          <cell r="Y235" t="str">
            <v>Live</v>
          </cell>
          <cell r="Z235" t="str">
            <v>Bilateral</v>
          </cell>
        </row>
        <row r="236">
          <cell r="F236" t="str">
            <v>ITAH3</v>
          </cell>
          <cell r="G236"/>
          <cell r="H236" t="str">
            <v>222</v>
          </cell>
          <cell r="I236" t="str">
            <v>99</v>
          </cell>
          <cell r="J236" t="str">
            <v>x</v>
          </cell>
          <cell r="K236" t="str">
            <v>YES</v>
          </cell>
          <cell r="L236" t="str">
            <v>YES</v>
          </cell>
          <cell r="M236" t="str">
            <v>YES</v>
          </cell>
          <cell r="N236" t="str">
            <v>YES</v>
          </cell>
          <cell r="O236" t="str">
            <v>YES</v>
          </cell>
          <cell r="P236" t="str">
            <v>YES</v>
          </cell>
          <cell r="Q236" t="str">
            <v>YES</v>
          </cell>
          <cell r="R236" t="str">
            <v>YES</v>
          </cell>
          <cell r="S236" t="str">
            <v>YES</v>
          </cell>
          <cell r="T236" t="str">
            <v>YES</v>
          </cell>
          <cell r="U236"/>
          <cell r="V236"/>
          <cell r="W236"/>
          <cell r="X236"/>
          <cell r="Y236" t="str">
            <v>Live</v>
          </cell>
          <cell r="Z236" t="str">
            <v>Bilateral</v>
          </cell>
        </row>
        <row r="237">
          <cell r="F237" t="str">
            <v>VNMVM</v>
          </cell>
          <cell r="G237" t="str">
            <v>VNMK9</v>
          </cell>
          <cell r="H237" t="str">
            <v>452</v>
          </cell>
          <cell r="I237" t="str">
            <v>05</v>
          </cell>
          <cell r="J237" t="str">
            <v>x</v>
          </cell>
          <cell r="K237" t="str">
            <v>YES</v>
          </cell>
          <cell r="L237" t="str">
            <v>YES</v>
          </cell>
          <cell r="M237" t="str">
            <v>N.A</v>
          </cell>
          <cell r="N237"/>
          <cell r="O237" t="str">
            <v>YES</v>
          </cell>
          <cell r="P237" t="str">
            <v>YES</v>
          </cell>
          <cell r="Q237" t="str">
            <v>YES</v>
          </cell>
          <cell r="R237" t="str">
            <v>YES</v>
          </cell>
          <cell r="S237"/>
          <cell r="T237"/>
          <cell r="U237"/>
          <cell r="V237"/>
          <cell r="W237"/>
          <cell r="X237"/>
          <cell r="Y237" t="str">
            <v>Live</v>
          </cell>
          <cell r="Z237" t="str">
            <v>Comfone</v>
          </cell>
        </row>
        <row r="238">
          <cell r="F238" t="str">
            <v>DNKHU</v>
          </cell>
          <cell r="G238"/>
          <cell r="H238" t="str">
            <v>238</v>
          </cell>
          <cell r="I238" t="str">
            <v>06</v>
          </cell>
          <cell r="J238" t="str">
            <v>x</v>
          </cell>
          <cell r="K238" t="str">
            <v>YES</v>
          </cell>
          <cell r="L238" t="str">
            <v>YES</v>
          </cell>
          <cell r="M238" t="str">
            <v>N.A</v>
          </cell>
          <cell r="N238" t="str">
            <v>YES</v>
          </cell>
          <cell r="O238" t="str">
            <v>YES</v>
          </cell>
          <cell r="P238" t="str">
            <v>YES</v>
          </cell>
          <cell r="Q238" t="str">
            <v>YES</v>
          </cell>
          <cell r="R238" t="str">
            <v>YES</v>
          </cell>
          <cell r="S238"/>
          <cell r="T238"/>
          <cell r="U238"/>
          <cell r="V238"/>
          <cell r="W238"/>
          <cell r="X238"/>
          <cell r="Y238" t="str">
            <v>Live</v>
          </cell>
          <cell r="Z238" t="str">
            <v>Bilateral</v>
          </cell>
        </row>
        <row r="239">
          <cell r="F239" t="str">
            <v>SWEHU</v>
          </cell>
          <cell r="G239"/>
          <cell r="H239" t="str">
            <v>240</v>
          </cell>
          <cell r="I239" t="str">
            <v>02</v>
          </cell>
          <cell r="J239" t="str">
            <v>x</v>
          </cell>
          <cell r="K239" t="str">
            <v>YES</v>
          </cell>
          <cell r="L239" t="str">
            <v>YES</v>
          </cell>
          <cell r="M239" t="str">
            <v>N.A</v>
          </cell>
          <cell r="N239" t="str">
            <v>YES</v>
          </cell>
          <cell r="O239" t="str">
            <v>YES</v>
          </cell>
          <cell r="P239" t="str">
            <v>YES</v>
          </cell>
          <cell r="Q239" t="str">
            <v>YES</v>
          </cell>
          <cell r="R239" t="str">
            <v>YES</v>
          </cell>
          <cell r="S239" t="str">
            <v>YES</v>
          </cell>
          <cell r="T239" t="str">
            <v>YES</v>
          </cell>
          <cell r="U239"/>
          <cell r="V239"/>
          <cell r="W239"/>
          <cell r="X239"/>
          <cell r="Y239" t="str">
            <v>Live</v>
          </cell>
          <cell r="Z239" t="str">
            <v>Bilateral</v>
          </cell>
        </row>
        <row r="240">
          <cell r="F240" t="str">
            <v>PRYVX</v>
          </cell>
          <cell r="G240" t="str">
            <v>PRYOR</v>
          </cell>
          <cell r="H240" t="str">
            <v>744</v>
          </cell>
          <cell r="I240" t="str">
            <v>01</v>
          </cell>
          <cell r="J240" t="str">
            <v>x</v>
          </cell>
          <cell r="K240" t="str">
            <v>YES</v>
          </cell>
          <cell r="L240" t="str">
            <v>YES</v>
          </cell>
          <cell r="M240"/>
          <cell r="N240"/>
          <cell r="O240" t="str">
            <v>YES</v>
          </cell>
          <cell r="P240" t="str">
            <v>YES</v>
          </cell>
          <cell r="Q240" t="str">
            <v>YES</v>
          </cell>
          <cell r="R240" t="str">
            <v>YES</v>
          </cell>
          <cell r="S240"/>
          <cell r="T240"/>
          <cell r="U240"/>
          <cell r="V240"/>
          <cell r="W240"/>
          <cell r="X240"/>
          <cell r="Y240" t="str">
            <v>Live</v>
          </cell>
          <cell r="Z240" t="str">
            <v>Orange Hub</v>
          </cell>
        </row>
        <row r="241">
          <cell r="F241" t="str">
            <v>HKGTC</v>
          </cell>
          <cell r="G241" t="str">
            <v>HKGFT</v>
          </cell>
          <cell r="H241" t="str">
            <v>454</v>
          </cell>
          <cell r="I241" t="str">
            <v>00</v>
          </cell>
          <cell r="J241" t="str">
            <v>x</v>
          </cell>
          <cell r="K241" t="str">
            <v>YES</v>
          </cell>
          <cell r="L241" t="str">
            <v>YES</v>
          </cell>
          <cell r="M241"/>
          <cell r="N241" t="str">
            <v>YES</v>
          </cell>
          <cell r="O241" t="str">
            <v>YES</v>
          </cell>
          <cell r="P241" t="str">
            <v>YES</v>
          </cell>
          <cell r="Q241" t="str">
            <v>YES</v>
          </cell>
          <cell r="R241" t="str">
            <v>YES</v>
          </cell>
          <cell r="S241" t="str">
            <v>YES</v>
          </cell>
          <cell r="T241" t="str">
            <v>YES</v>
          </cell>
          <cell r="U241"/>
          <cell r="V241"/>
          <cell r="W241"/>
          <cell r="X241"/>
          <cell r="Y241" t="str">
            <v>Live</v>
          </cell>
          <cell r="Z241" t="str">
            <v>Orange Hub</v>
          </cell>
        </row>
        <row r="242">
          <cell r="F242" t="str">
            <v>HKGM3</v>
          </cell>
          <cell r="G242" t="str">
            <v>HKGOR</v>
          </cell>
          <cell r="H242" t="str">
            <v>454</v>
          </cell>
          <cell r="I242" t="str">
            <v>19</v>
          </cell>
          <cell r="J242" t="str">
            <v>x</v>
          </cell>
          <cell r="K242" t="str">
            <v>YES</v>
          </cell>
          <cell r="L242"/>
          <cell r="M242"/>
          <cell r="N242"/>
          <cell r="O242" t="str">
            <v>YES</v>
          </cell>
          <cell r="P242"/>
          <cell r="Q242" t="str">
            <v>YES</v>
          </cell>
          <cell r="R242"/>
          <cell r="S242" t="str">
            <v>YES</v>
          </cell>
          <cell r="T242"/>
          <cell r="U242"/>
          <cell r="V242"/>
          <cell r="W242"/>
          <cell r="X242"/>
          <cell r="Y242" t="str">
            <v>Live</v>
          </cell>
          <cell r="Z242" t="str">
            <v>Orange Hub</v>
          </cell>
        </row>
        <row r="243">
          <cell r="F243" t="str">
            <v>HKGMC</v>
          </cell>
          <cell r="G243"/>
          <cell r="H243" t="str">
            <v>454</v>
          </cell>
          <cell r="I243" t="str">
            <v>16</v>
          </cell>
          <cell r="J243" t="str">
            <v>x</v>
          </cell>
          <cell r="K243" t="str">
            <v>YES</v>
          </cell>
          <cell r="L243"/>
          <cell r="M243" t="str">
            <v>N.A</v>
          </cell>
          <cell r="N243"/>
          <cell r="O243" t="str">
            <v>YES</v>
          </cell>
          <cell r="P243"/>
          <cell r="Q243" t="str">
            <v>YES</v>
          </cell>
          <cell r="R243"/>
          <cell r="S243"/>
          <cell r="T243"/>
          <cell r="U243"/>
          <cell r="V243"/>
          <cell r="W243"/>
          <cell r="X243"/>
          <cell r="Y243" t="str">
            <v>Live</v>
          </cell>
          <cell r="Z243" t="str">
            <v>Bilateral</v>
          </cell>
        </row>
        <row r="244">
          <cell r="F244" t="str">
            <v>SOMHI</v>
          </cell>
          <cell r="G244" t="str">
            <v>SOMK9</v>
          </cell>
          <cell r="H244" t="str">
            <v>637</v>
          </cell>
          <cell r="I244" t="str">
            <v>50</v>
          </cell>
          <cell r="J244" t="str">
            <v>x</v>
          </cell>
          <cell r="K244" t="str">
            <v>YES</v>
          </cell>
          <cell r="L244" t="str">
            <v>YES</v>
          </cell>
          <cell r="M244" t="str">
            <v>YES</v>
          </cell>
          <cell r="N244" t="str">
            <v>YES</v>
          </cell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 t="str">
            <v>Live</v>
          </cell>
          <cell r="Z244" t="str">
            <v>Comfone</v>
          </cell>
        </row>
        <row r="245">
          <cell r="F245" t="str">
            <v>HRVCN</v>
          </cell>
          <cell r="G245" t="str">
            <v>HRVK9</v>
          </cell>
          <cell r="H245" t="str">
            <v>219</v>
          </cell>
          <cell r="I245" t="str">
            <v>01</v>
          </cell>
          <cell r="J245" t="str">
            <v>x</v>
          </cell>
          <cell r="K245" t="str">
            <v>YES</v>
          </cell>
          <cell r="L245" t="str">
            <v>YES</v>
          </cell>
          <cell r="M245" t="str">
            <v>YES</v>
          </cell>
          <cell r="N245" t="str">
            <v>YES</v>
          </cell>
          <cell r="O245" t="str">
            <v>YES</v>
          </cell>
          <cell r="P245" t="str">
            <v>YES</v>
          </cell>
          <cell r="Q245" t="str">
            <v>YES</v>
          </cell>
          <cell r="R245" t="str">
            <v>YES</v>
          </cell>
          <cell r="S245" t="str">
            <v>YES</v>
          </cell>
          <cell r="T245" t="str">
            <v>YES</v>
          </cell>
          <cell r="U245"/>
          <cell r="V245"/>
          <cell r="W245"/>
          <cell r="X245"/>
          <cell r="Y245" t="str">
            <v>Live</v>
          </cell>
          <cell r="Z245" t="str">
            <v>Comfone</v>
          </cell>
        </row>
        <row r="246">
          <cell r="F246" t="str">
            <v>BIHER</v>
          </cell>
          <cell r="G246"/>
          <cell r="H246" t="str">
            <v>218</v>
          </cell>
          <cell r="I246" t="str">
            <v>03</v>
          </cell>
          <cell r="J246" t="str">
            <v>x</v>
          </cell>
          <cell r="K246" t="str">
            <v>YES</v>
          </cell>
          <cell r="L246" t="str">
            <v>YES</v>
          </cell>
          <cell r="M246" t="str">
            <v>YES</v>
          </cell>
          <cell r="N246" t="str">
            <v>YES</v>
          </cell>
          <cell r="O246" t="str">
            <v>YES</v>
          </cell>
          <cell r="P246" t="str">
            <v>YES</v>
          </cell>
          <cell r="Q246" t="str">
            <v>YES</v>
          </cell>
          <cell r="R246" t="str">
            <v>YES</v>
          </cell>
          <cell r="S246" t="str">
            <v>YES</v>
          </cell>
          <cell r="T246" t="str">
            <v>YES</v>
          </cell>
          <cell r="U246"/>
          <cell r="V246"/>
          <cell r="W246"/>
          <cell r="X246"/>
          <cell r="Y246" t="str">
            <v>Live</v>
          </cell>
          <cell r="Z246" t="str">
            <v>Bilateral</v>
          </cell>
        </row>
        <row r="247">
          <cell r="F247" t="str">
            <v>GBRHU</v>
          </cell>
          <cell r="G247" t="str">
            <v>GBRK7</v>
          </cell>
          <cell r="H247" t="str">
            <v>234</v>
          </cell>
          <cell r="I247" t="str">
            <v>20</v>
          </cell>
          <cell r="J247" t="str">
            <v>x</v>
          </cell>
          <cell r="K247" t="str">
            <v>YES</v>
          </cell>
          <cell r="L247" t="str">
            <v>YES</v>
          </cell>
          <cell r="M247" t="str">
            <v>YES</v>
          </cell>
          <cell r="N247" t="str">
            <v>YES</v>
          </cell>
          <cell r="O247" t="str">
            <v>YES</v>
          </cell>
          <cell r="P247" t="str">
            <v>YES</v>
          </cell>
          <cell r="Q247" t="str">
            <v>YES</v>
          </cell>
          <cell r="R247" t="str">
            <v>YES</v>
          </cell>
          <cell r="S247" t="str">
            <v>YES</v>
          </cell>
          <cell r="T247" t="str">
            <v>YES</v>
          </cell>
          <cell r="U247"/>
          <cell r="V247"/>
          <cell r="W247"/>
          <cell r="X247"/>
          <cell r="Y247" t="str">
            <v>Live</v>
          </cell>
          <cell r="Z247" t="str">
            <v>Comfone</v>
          </cell>
        </row>
        <row r="248">
          <cell r="F248" t="str">
            <v>LKAHT</v>
          </cell>
          <cell r="G248" t="str">
            <v>LKAK5</v>
          </cell>
          <cell r="H248" t="str">
            <v>413</v>
          </cell>
          <cell r="I248" t="str">
            <v>08</v>
          </cell>
          <cell r="J248" t="str">
            <v>x</v>
          </cell>
          <cell r="K248" t="str">
            <v>YES</v>
          </cell>
          <cell r="L248" t="str">
            <v>YES</v>
          </cell>
          <cell r="M248" t="str">
            <v>YES</v>
          </cell>
          <cell r="N248" t="str">
            <v>YES</v>
          </cell>
          <cell r="O248" t="str">
            <v>YES</v>
          </cell>
          <cell r="P248" t="str">
            <v>YES</v>
          </cell>
          <cell r="Q248" t="str">
            <v>YES</v>
          </cell>
          <cell r="R248" t="str">
            <v>YES</v>
          </cell>
          <cell r="S248" t="str">
            <v>YES</v>
          </cell>
          <cell r="T248" t="str">
            <v>YES</v>
          </cell>
          <cell r="U248"/>
          <cell r="V248"/>
          <cell r="W248"/>
          <cell r="X248"/>
          <cell r="Y248" t="str">
            <v>Live</v>
          </cell>
          <cell r="Z248" t="str">
            <v>Comfone</v>
          </cell>
        </row>
        <row r="249">
          <cell r="F249" t="str">
            <v>MARM1</v>
          </cell>
          <cell r="G249"/>
          <cell r="H249" t="str">
            <v>604</v>
          </cell>
          <cell r="I249" t="str">
            <v>01</v>
          </cell>
          <cell r="J249" t="str">
            <v>x</v>
          </cell>
          <cell r="K249" t="str">
            <v>YES</v>
          </cell>
          <cell r="L249" t="str">
            <v>YES</v>
          </cell>
          <cell r="M249" t="str">
            <v>YES</v>
          </cell>
          <cell r="N249" t="str">
            <v>YES</v>
          </cell>
          <cell r="O249" t="str">
            <v>YES</v>
          </cell>
          <cell r="P249" t="str">
            <v>YES</v>
          </cell>
          <cell r="Q249" t="str">
            <v>YES</v>
          </cell>
          <cell r="R249" t="str">
            <v>YES</v>
          </cell>
          <cell r="S249" t="str">
            <v>YES</v>
          </cell>
          <cell r="T249" t="str">
            <v>YES</v>
          </cell>
          <cell r="U249"/>
          <cell r="V249"/>
          <cell r="W249"/>
          <cell r="X249"/>
          <cell r="Y249" t="str">
            <v>Live</v>
          </cell>
          <cell r="Z249" t="str">
            <v>Bilateral</v>
          </cell>
        </row>
        <row r="250">
          <cell r="F250" t="str">
            <v>CRICR</v>
          </cell>
          <cell r="G250"/>
          <cell r="H250" t="str">
            <v>712</v>
          </cell>
          <cell r="I250" t="str">
            <v>01</v>
          </cell>
          <cell r="J250" t="str">
            <v>x</v>
          </cell>
          <cell r="K250" t="str">
            <v>YES</v>
          </cell>
          <cell r="L250" t="str">
            <v>YES</v>
          </cell>
          <cell r="M250" t="str">
            <v>YES</v>
          </cell>
          <cell r="N250" t="str">
            <v>YES</v>
          </cell>
          <cell r="O250" t="str">
            <v>YES</v>
          </cell>
          <cell r="P250" t="str">
            <v>YES</v>
          </cell>
          <cell r="Q250" t="str">
            <v>YES</v>
          </cell>
          <cell r="R250" t="str">
            <v>YES</v>
          </cell>
          <cell r="S250" t="str">
            <v>YES</v>
          </cell>
          <cell r="T250" t="str">
            <v>YES</v>
          </cell>
          <cell r="U250"/>
          <cell r="V250"/>
          <cell r="W250"/>
          <cell r="X250"/>
          <cell r="Y250" t="str">
            <v>Live</v>
          </cell>
          <cell r="Z250" t="str">
            <v>Bilateral</v>
          </cell>
        </row>
        <row r="251">
          <cell r="F251" t="str">
            <v>INDAM</v>
          </cell>
          <cell r="G251"/>
          <cell r="H251" t="str">
            <v>405</v>
          </cell>
          <cell r="I251" t="str">
            <v>845</v>
          </cell>
          <cell r="J251" t="str">
            <v>x</v>
          </cell>
          <cell r="K251" t="str">
            <v>YES</v>
          </cell>
          <cell r="L251" t="str">
            <v>YES</v>
          </cell>
          <cell r="M251"/>
          <cell r="N251"/>
          <cell r="O251" t="str">
            <v>YES</v>
          </cell>
          <cell r="P251" t="str">
            <v>Arrêté</v>
          </cell>
          <cell r="Q251" t="str">
            <v>YES</v>
          </cell>
          <cell r="R251" t="str">
            <v>Arrêté</v>
          </cell>
          <cell r="S251"/>
          <cell r="T251"/>
          <cell r="U251"/>
          <cell r="V251"/>
          <cell r="W251"/>
          <cell r="X251"/>
          <cell r="Y251" t="str">
            <v>Live</v>
          </cell>
          <cell r="Z251" t="str">
            <v>Bilateral</v>
          </cell>
        </row>
        <row r="252">
          <cell r="F252" t="str">
            <v>INDBI</v>
          </cell>
          <cell r="G252"/>
          <cell r="H252" t="str">
            <v>404</v>
          </cell>
          <cell r="I252" t="str">
            <v>24</v>
          </cell>
          <cell r="J252" t="str">
            <v>x</v>
          </cell>
          <cell r="K252" t="str">
            <v>YES</v>
          </cell>
          <cell r="L252" t="str">
            <v>YES</v>
          </cell>
          <cell r="M252"/>
          <cell r="N252"/>
          <cell r="O252" t="str">
            <v>YES</v>
          </cell>
          <cell r="P252" t="str">
            <v>Arrêté</v>
          </cell>
          <cell r="Q252" t="str">
            <v>YES</v>
          </cell>
          <cell r="R252" t="str">
            <v>Arrêté</v>
          </cell>
          <cell r="S252"/>
          <cell r="T252"/>
          <cell r="U252"/>
          <cell r="V252"/>
          <cell r="W252"/>
          <cell r="X252"/>
          <cell r="Y252" t="str">
            <v>Live</v>
          </cell>
          <cell r="Z252" t="str">
            <v>Bilateral</v>
          </cell>
        </row>
        <row r="253">
          <cell r="F253" t="str">
            <v>INDBO</v>
          </cell>
          <cell r="G253"/>
          <cell r="H253" t="str">
            <v>404</v>
          </cell>
          <cell r="I253" t="str">
            <v>22</v>
          </cell>
          <cell r="J253" t="str">
            <v>x</v>
          </cell>
          <cell r="K253" t="str">
            <v>YES</v>
          </cell>
          <cell r="L253" t="str">
            <v>YES</v>
          </cell>
          <cell r="M253"/>
          <cell r="N253"/>
          <cell r="O253" t="str">
            <v>YES</v>
          </cell>
          <cell r="P253" t="str">
            <v>Arrêté</v>
          </cell>
          <cell r="Q253" t="str">
            <v>YES</v>
          </cell>
          <cell r="R253" t="str">
            <v>Arrêté</v>
          </cell>
          <cell r="S253"/>
          <cell r="T253"/>
          <cell r="U253"/>
          <cell r="V253"/>
          <cell r="W253"/>
          <cell r="X253"/>
          <cell r="Y253" t="str">
            <v>Live</v>
          </cell>
          <cell r="Z253" t="str">
            <v>Bilateral</v>
          </cell>
        </row>
        <row r="254">
          <cell r="F254" t="str">
            <v>INDEH</v>
          </cell>
          <cell r="G254"/>
          <cell r="H254" t="str">
            <v>404</v>
          </cell>
          <cell r="I254" t="str">
            <v>12</v>
          </cell>
          <cell r="J254" t="str">
            <v>x</v>
          </cell>
          <cell r="K254" t="str">
            <v>YES</v>
          </cell>
          <cell r="L254" t="str">
            <v>YES</v>
          </cell>
          <cell r="M254"/>
          <cell r="N254"/>
          <cell r="O254" t="str">
            <v>YES</v>
          </cell>
          <cell r="P254" t="str">
            <v>Arrêté</v>
          </cell>
          <cell r="Q254" t="str">
            <v>YES</v>
          </cell>
          <cell r="R254" t="str">
            <v>Arrêté</v>
          </cell>
          <cell r="S254"/>
          <cell r="T254"/>
          <cell r="U254"/>
          <cell r="V254"/>
          <cell r="W254"/>
          <cell r="X254"/>
          <cell r="Y254" t="str">
            <v>Live</v>
          </cell>
          <cell r="Z254" t="str">
            <v>Bilateral</v>
          </cell>
        </row>
        <row r="255">
          <cell r="F255" t="str">
            <v>INDEK</v>
          </cell>
          <cell r="G255"/>
          <cell r="H255" t="str">
            <v>404</v>
          </cell>
          <cell r="I255" t="str">
            <v>19</v>
          </cell>
          <cell r="J255" t="str">
            <v>x</v>
          </cell>
          <cell r="K255" t="str">
            <v>YES</v>
          </cell>
          <cell r="L255" t="str">
            <v>YES</v>
          </cell>
          <cell r="M255"/>
          <cell r="N255"/>
          <cell r="O255" t="str">
            <v>YES</v>
          </cell>
          <cell r="P255" t="str">
            <v>Arrêté</v>
          </cell>
          <cell r="Q255" t="str">
            <v>YES</v>
          </cell>
          <cell r="R255" t="str">
            <v>Arrêté</v>
          </cell>
          <cell r="S255"/>
          <cell r="T255"/>
          <cell r="U255"/>
          <cell r="V255"/>
          <cell r="W255"/>
          <cell r="X255"/>
          <cell r="Y255" t="str">
            <v>Live</v>
          </cell>
          <cell r="Z255" t="str">
            <v>Bilateral</v>
          </cell>
        </row>
        <row r="256">
          <cell r="F256" t="str">
            <v>INDEU</v>
          </cell>
          <cell r="G256"/>
          <cell r="H256" t="str">
            <v>404</v>
          </cell>
          <cell r="I256" t="str">
            <v>56</v>
          </cell>
          <cell r="J256" t="str">
            <v>x</v>
          </cell>
          <cell r="K256" t="str">
            <v>YES</v>
          </cell>
          <cell r="L256" t="str">
            <v>YES</v>
          </cell>
          <cell r="M256"/>
          <cell r="N256"/>
          <cell r="O256" t="str">
            <v>YES</v>
          </cell>
          <cell r="P256" t="str">
            <v>Arrêté</v>
          </cell>
          <cell r="Q256" t="str">
            <v>YES</v>
          </cell>
          <cell r="R256" t="str">
            <v>Arrêté</v>
          </cell>
          <cell r="S256"/>
          <cell r="T256"/>
          <cell r="U256"/>
          <cell r="V256"/>
          <cell r="W256"/>
          <cell r="X256"/>
          <cell r="Y256" t="str">
            <v>Live</v>
          </cell>
          <cell r="Z256" t="str">
            <v>Bilateral</v>
          </cell>
        </row>
        <row r="257">
          <cell r="F257" t="str">
            <v>IND07</v>
          </cell>
          <cell r="G257"/>
          <cell r="H257" t="str">
            <v>404</v>
          </cell>
          <cell r="I257" t="str">
            <v>07</v>
          </cell>
          <cell r="J257" t="str">
            <v>x</v>
          </cell>
          <cell r="K257" t="str">
            <v>YES</v>
          </cell>
          <cell r="L257" t="str">
            <v>YES</v>
          </cell>
          <cell r="M257"/>
          <cell r="N257"/>
          <cell r="O257" t="str">
            <v>YES</v>
          </cell>
          <cell r="P257" t="str">
            <v>Arrêté</v>
          </cell>
          <cell r="Q257" t="str">
            <v>YES</v>
          </cell>
          <cell r="R257" t="str">
            <v>Arrêté</v>
          </cell>
          <cell r="S257"/>
          <cell r="T257"/>
          <cell r="U257"/>
          <cell r="V257"/>
          <cell r="W257"/>
          <cell r="X257"/>
          <cell r="Y257" t="str">
            <v>Live</v>
          </cell>
          <cell r="Z257" t="str">
            <v>Bilateral</v>
          </cell>
        </row>
        <row r="258">
          <cell r="F258" t="str">
            <v>INDIB</v>
          </cell>
          <cell r="G258"/>
          <cell r="H258" t="str">
            <v>405</v>
          </cell>
          <cell r="I258" t="str">
            <v>70</v>
          </cell>
          <cell r="J258" t="str">
            <v>x</v>
          </cell>
          <cell r="K258" t="str">
            <v>YES</v>
          </cell>
          <cell r="L258" t="str">
            <v>YES</v>
          </cell>
          <cell r="M258"/>
          <cell r="N258"/>
          <cell r="O258" t="str">
            <v>YES</v>
          </cell>
          <cell r="P258" t="str">
            <v>Arrêté</v>
          </cell>
          <cell r="Q258" t="str">
            <v>YES</v>
          </cell>
          <cell r="R258" t="str">
            <v>Arrêté</v>
          </cell>
          <cell r="S258"/>
          <cell r="T258"/>
          <cell r="U258"/>
          <cell r="V258"/>
          <cell r="W258"/>
          <cell r="X258"/>
          <cell r="Y258" t="str">
            <v>Live</v>
          </cell>
          <cell r="Z258" t="str">
            <v>Bilateral</v>
          </cell>
        </row>
        <row r="259">
          <cell r="F259" t="str">
            <v>INDID</v>
          </cell>
          <cell r="G259"/>
          <cell r="H259" t="str">
            <v>404</v>
          </cell>
          <cell r="I259" t="str">
            <v>04</v>
          </cell>
          <cell r="J259" t="str">
            <v>x</v>
          </cell>
          <cell r="K259" t="str">
            <v>YES</v>
          </cell>
          <cell r="L259" t="str">
            <v>YES</v>
          </cell>
          <cell r="M259"/>
          <cell r="N259"/>
          <cell r="O259" t="str">
            <v>YES</v>
          </cell>
          <cell r="P259" t="str">
            <v>Arrêté</v>
          </cell>
          <cell r="Q259" t="str">
            <v>YES</v>
          </cell>
          <cell r="R259" t="str">
            <v>Arrêté</v>
          </cell>
          <cell r="S259"/>
          <cell r="T259"/>
          <cell r="U259"/>
          <cell r="V259"/>
          <cell r="W259"/>
          <cell r="X259"/>
          <cell r="Y259" t="str">
            <v>Live</v>
          </cell>
          <cell r="Z259" t="str">
            <v>Bilateral</v>
          </cell>
        </row>
        <row r="260">
          <cell r="F260" t="str">
            <v>INDIE</v>
          </cell>
          <cell r="G260"/>
          <cell r="H260" t="str">
            <v>405</v>
          </cell>
          <cell r="I260" t="str">
            <v>849</v>
          </cell>
          <cell r="J260" t="str">
            <v>x</v>
          </cell>
          <cell r="K260" t="str">
            <v>YES</v>
          </cell>
          <cell r="L260" t="str">
            <v>YES</v>
          </cell>
          <cell r="M260"/>
          <cell r="N260"/>
          <cell r="O260" t="str">
            <v>YES</v>
          </cell>
          <cell r="P260" t="str">
            <v>Arrêté</v>
          </cell>
          <cell r="Q260" t="str">
            <v>YES</v>
          </cell>
          <cell r="R260" t="str">
            <v>Arrêté</v>
          </cell>
          <cell r="S260"/>
          <cell r="T260"/>
          <cell r="U260"/>
          <cell r="V260"/>
          <cell r="W260"/>
          <cell r="X260"/>
          <cell r="Y260" t="str">
            <v>Live</v>
          </cell>
          <cell r="Z260" t="str">
            <v>Bilateral</v>
          </cell>
        </row>
        <row r="261">
          <cell r="F261" t="str">
            <v>INDIH</v>
          </cell>
          <cell r="G261"/>
          <cell r="H261" t="str">
            <v>404</v>
          </cell>
          <cell r="I261" t="str">
            <v>82</v>
          </cell>
          <cell r="J261" t="str">
            <v>x</v>
          </cell>
          <cell r="K261" t="str">
            <v>YES</v>
          </cell>
          <cell r="L261" t="str">
            <v>YES</v>
          </cell>
          <cell r="M261"/>
          <cell r="N261"/>
          <cell r="O261" t="str">
            <v>YES</v>
          </cell>
          <cell r="P261" t="str">
            <v>Arrêté</v>
          </cell>
          <cell r="Q261" t="str">
            <v>YES</v>
          </cell>
          <cell r="R261" t="str">
            <v>Arrêté</v>
          </cell>
          <cell r="S261"/>
          <cell r="T261"/>
          <cell r="U261"/>
          <cell r="V261"/>
          <cell r="W261"/>
          <cell r="X261"/>
          <cell r="Y261" t="str">
            <v>Live</v>
          </cell>
          <cell r="Z261" t="str">
            <v>Bilateral</v>
          </cell>
        </row>
        <row r="262">
          <cell r="F262" t="str">
            <v>INDIJ</v>
          </cell>
          <cell r="G262"/>
          <cell r="H262" t="str">
            <v>405</v>
          </cell>
          <cell r="I262" t="str">
            <v>846</v>
          </cell>
          <cell r="J262" t="str">
            <v>x</v>
          </cell>
          <cell r="K262" t="str">
            <v>YES</v>
          </cell>
          <cell r="L262" t="str">
            <v>YES</v>
          </cell>
          <cell r="M262"/>
          <cell r="N262"/>
          <cell r="O262" t="str">
            <v>YES</v>
          </cell>
          <cell r="P262" t="str">
            <v>Arrêté</v>
          </cell>
          <cell r="Q262" t="str">
            <v>YES</v>
          </cell>
          <cell r="R262" t="str">
            <v>Arrêté</v>
          </cell>
          <cell r="S262"/>
          <cell r="T262"/>
          <cell r="U262"/>
          <cell r="V262"/>
          <cell r="W262"/>
          <cell r="X262"/>
          <cell r="Y262" t="str">
            <v>Live</v>
          </cell>
          <cell r="Z262" t="str">
            <v>Bilateral</v>
          </cell>
        </row>
        <row r="263">
          <cell r="F263" t="str">
            <v>INDIK</v>
          </cell>
          <cell r="G263"/>
          <cell r="H263" t="str">
            <v>405</v>
          </cell>
          <cell r="I263" t="str">
            <v>848</v>
          </cell>
          <cell r="J263" t="str">
            <v>x</v>
          </cell>
          <cell r="K263" t="str">
            <v>YES</v>
          </cell>
          <cell r="L263" t="str">
            <v>YES</v>
          </cell>
          <cell r="M263"/>
          <cell r="N263"/>
          <cell r="O263" t="str">
            <v>YES</v>
          </cell>
          <cell r="P263" t="str">
            <v>Arrêté</v>
          </cell>
          <cell r="Q263" t="str">
            <v>YES</v>
          </cell>
          <cell r="R263" t="str">
            <v>Arrêté</v>
          </cell>
          <cell r="S263"/>
          <cell r="T263"/>
          <cell r="U263"/>
          <cell r="V263"/>
          <cell r="W263"/>
          <cell r="X263"/>
          <cell r="Y263" t="str">
            <v>Live</v>
          </cell>
          <cell r="Z263" t="str">
            <v>Bilateral</v>
          </cell>
        </row>
        <row r="264">
          <cell r="F264" t="str">
            <v>INDIM</v>
          </cell>
          <cell r="G264"/>
          <cell r="H264" t="str">
            <v>405</v>
          </cell>
          <cell r="I264" t="str">
            <v>799</v>
          </cell>
          <cell r="J264" t="str">
            <v>x</v>
          </cell>
          <cell r="K264" t="str">
            <v>YES</v>
          </cell>
          <cell r="L264" t="str">
            <v>YES</v>
          </cell>
          <cell r="M264"/>
          <cell r="N264"/>
          <cell r="O264" t="str">
            <v>YES</v>
          </cell>
          <cell r="P264" t="str">
            <v>Arrêté</v>
          </cell>
          <cell r="Q264" t="str">
            <v>YES</v>
          </cell>
          <cell r="R264" t="str">
            <v>Arrêté</v>
          </cell>
          <cell r="S264"/>
          <cell r="T264"/>
          <cell r="U264"/>
          <cell r="V264"/>
          <cell r="W264"/>
          <cell r="X264"/>
          <cell r="Y264" t="str">
            <v>Live</v>
          </cell>
          <cell r="Z264" t="str">
            <v>Bilateral</v>
          </cell>
        </row>
        <row r="265">
          <cell r="F265" t="str">
            <v>INDIO</v>
          </cell>
          <cell r="G265"/>
          <cell r="H265" t="str">
            <v>405</v>
          </cell>
          <cell r="I265" t="str">
            <v>850</v>
          </cell>
          <cell r="J265" t="str">
            <v>x</v>
          </cell>
          <cell r="K265" t="str">
            <v>YES</v>
          </cell>
          <cell r="L265" t="str">
            <v>YES</v>
          </cell>
          <cell r="M265"/>
          <cell r="N265"/>
          <cell r="O265" t="str">
            <v>YES</v>
          </cell>
          <cell r="P265" t="str">
            <v>Arrêté</v>
          </cell>
          <cell r="Q265" t="str">
            <v>YES</v>
          </cell>
          <cell r="R265" t="str">
            <v>Arrêté</v>
          </cell>
          <cell r="S265"/>
          <cell r="T265"/>
          <cell r="U265"/>
          <cell r="V265"/>
          <cell r="W265"/>
          <cell r="X265"/>
          <cell r="Y265" t="str">
            <v>Live</v>
          </cell>
          <cell r="Z265" t="str">
            <v>Bilateral</v>
          </cell>
        </row>
        <row r="266">
          <cell r="F266" t="str">
            <v>INDIR</v>
          </cell>
          <cell r="G266"/>
          <cell r="H266" t="str">
            <v>404</v>
          </cell>
          <cell r="I266" t="str">
            <v>87</v>
          </cell>
          <cell r="J266" t="str">
            <v>x</v>
          </cell>
          <cell r="K266" t="str">
            <v>YES</v>
          </cell>
          <cell r="L266" t="str">
            <v>YES</v>
          </cell>
          <cell r="M266"/>
          <cell r="N266"/>
          <cell r="O266" t="str">
            <v>YES</v>
          </cell>
          <cell r="P266" t="str">
            <v>Arrêté</v>
          </cell>
          <cell r="Q266" t="str">
            <v>YES</v>
          </cell>
          <cell r="R266" t="str">
            <v>Arrêté</v>
          </cell>
          <cell r="S266"/>
          <cell r="T266"/>
          <cell r="U266"/>
          <cell r="V266"/>
          <cell r="W266"/>
          <cell r="X266"/>
          <cell r="Y266" t="str">
            <v>Live</v>
          </cell>
          <cell r="Z266" t="str">
            <v>Bilateral</v>
          </cell>
        </row>
        <row r="267">
          <cell r="F267" t="str">
            <v>INDIT</v>
          </cell>
          <cell r="G267"/>
          <cell r="H267" t="str">
            <v>405</v>
          </cell>
          <cell r="I267" t="str">
            <v>852</v>
          </cell>
          <cell r="J267" t="str">
            <v>x</v>
          </cell>
          <cell r="K267" t="str">
            <v>YES</v>
          </cell>
          <cell r="L267" t="str">
            <v>YES</v>
          </cell>
          <cell r="M267"/>
          <cell r="N267"/>
          <cell r="O267" t="str">
            <v>YES</v>
          </cell>
          <cell r="P267" t="str">
            <v>Arrêté</v>
          </cell>
          <cell r="Q267" t="str">
            <v>YES</v>
          </cell>
          <cell r="R267" t="str">
            <v>Arrêté</v>
          </cell>
          <cell r="S267"/>
          <cell r="T267"/>
          <cell r="U267"/>
          <cell r="V267"/>
          <cell r="W267"/>
          <cell r="X267"/>
          <cell r="Y267" t="str">
            <v>Live</v>
          </cell>
          <cell r="Z267" t="str">
            <v>Bilateral</v>
          </cell>
        </row>
        <row r="268">
          <cell r="F268" t="str">
            <v>INDIU</v>
          </cell>
          <cell r="G268"/>
          <cell r="H268" t="str">
            <v>404</v>
          </cell>
          <cell r="I268" t="str">
            <v>89</v>
          </cell>
          <cell r="J268" t="str">
            <v>x</v>
          </cell>
          <cell r="K268" t="str">
            <v>YES</v>
          </cell>
          <cell r="L268" t="str">
            <v>YES</v>
          </cell>
          <cell r="M268"/>
          <cell r="N268"/>
          <cell r="O268" t="str">
            <v>YES</v>
          </cell>
          <cell r="P268" t="str">
            <v>Arrêté</v>
          </cell>
          <cell r="Q268" t="str">
            <v>YES</v>
          </cell>
          <cell r="R268" t="str">
            <v>Arrêté</v>
          </cell>
          <cell r="S268"/>
          <cell r="T268"/>
          <cell r="U268"/>
          <cell r="V268"/>
          <cell r="W268"/>
          <cell r="X268"/>
          <cell r="Y268" t="str">
            <v>Live</v>
          </cell>
          <cell r="Z268" t="str">
            <v>Bilateral</v>
          </cell>
        </row>
        <row r="269">
          <cell r="F269" t="str">
            <v>INDIW</v>
          </cell>
          <cell r="G269"/>
          <cell r="H269" t="str">
            <v>405</v>
          </cell>
          <cell r="I269" t="str">
            <v>853</v>
          </cell>
          <cell r="J269" t="str">
            <v>x</v>
          </cell>
          <cell r="K269" t="str">
            <v>YES</v>
          </cell>
          <cell r="L269" t="str">
            <v>YES</v>
          </cell>
          <cell r="M269"/>
          <cell r="N269"/>
          <cell r="O269" t="str">
            <v>YES</v>
          </cell>
          <cell r="P269" t="str">
            <v>Arrêté</v>
          </cell>
          <cell r="Q269" t="str">
            <v>YES</v>
          </cell>
          <cell r="R269" t="str">
            <v>Arrêté</v>
          </cell>
          <cell r="S269"/>
          <cell r="T269"/>
          <cell r="U269"/>
          <cell r="V269"/>
          <cell r="W269"/>
          <cell r="X269"/>
          <cell r="Y269" t="str">
            <v>Live</v>
          </cell>
          <cell r="Z269" t="str">
            <v>Bilateral</v>
          </cell>
        </row>
        <row r="270">
          <cell r="F270" t="str">
            <v>INDMP</v>
          </cell>
          <cell r="G270"/>
          <cell r="H270" t="str">
            <v>404</v>
          </cell>
          <cell r="I270" t="str">
            <v>78</v>
          </cell>
          <cell r="J270" t="str">
            <v>x</v>
          </cell>
          <cell r="K270" t="str">
            <v>YES</v>
          </cell>
          <cell r="L270" t="str">
            <v>YES</v>
          </cell>
          <cell r="M270"/>
          <cell r="N270"/>
          <cell r="O270" t="str">
            <v>YES</v>
          </cell>
          <cell r="P270" t="str">
            <v>Arrêté</v>
          </cell>
          <cell r="Q270" t="str">
            <v>YES</v>
          </cell>
          <cell r="R270" t="str">
            <v>Arrêté</v>
          </cell>
          <cell r="S270"/>
          <cell r="T270"/>
          <cell r="U270"/>
          <cell r="V270"/>
          <cell r="W270"/>
          <cell r="X270"/>
          <cell r="Y270" t="str">
            <v>Live</v>
          </cell>
          <cell r="Z270" t="str">
            <v>Bilateral</v>
          </cell>
        </row>
        <row r="271">
          <cell r="F271" t="str">
            <v>INDSK</v>
          </cell>
          <cell r="G271"/>
          <cell r="H271" t="str">
            <v>404</v>
          </cell>
          <cell r="I271" t="str">
            <v>44</v>
          </cell>
          <cell r="J271" t="str">
            <v>x</v>
          </cell>
          <cell r="K271" t="str">
            <v>YES</v>
          </cell>
          <cell r="L271" t="str">
            <v>YES</v>
          </cell>
          <cell r="M271"/>
          <cell r="N271"/>
          <cell r="O271" t="str">
            <v>YES</v>
          </cell>
          <cell r="P271" t="str">
            <v>Arrêté</v>
          </cell>
          <cell r="Q271" t="str">
            <v>YES</v>
          </cell>
          <cell r="R271" t="str">
            <v>Arrêté</v>
          </cell>
          <cell r="S271"/>
          <cell r="T271"/>
          <cell r="U271"/>
          <cell r="V271"/>
          <cell r="W271"/>
          <cell r="X271"/>
          <cell r="Y271" t="str">
            <v>Live</v>
          </cell>
          <cell r="Z271" t="str">
            <v>Bilateral</v>
          </cell>
        </row>
        <row r="272">
          <cell r="F272" t="str">
            <v>INDSP</v>
          </cell>
          <cell r="G272"/>
          <cell r="H272" t="str">
            <v>404</v>
          </cell>
          <cell r="I272" t="str">
            <v>14</v>
          </cell>
          <cell r="J272" t="str">
            <v>x</v>
          </cell>
          <cell r="K272" t="str">
            <v>YES</v>
          </cell>
          <cell r="L272" t="str">
            <v>YES</v>
          </cell>
          <cell r="M272"/>
          <cell r="N272"/>
          <cell r="O272" t="str">
            <v>YES</v>
          </cell>
          <cell r="P272" t="str">
            <v>Arrêté</v>
          </cell>
          <cell r="Q272" t="str">
            <v>YES</v>
          </cell>
          <cell r="R272" t="str">
            <v>Arrêté</v>
          </cell>
          <cell r="S272"/>
          <cell r="T272"/>
          <cell r="U272"/>
          <cell r="V272"/>
          <cell r="W272"/>
          <cell r="X272"/>
          <cell r="Y272" t="str">
            <v>Live</v>
          </cell>
          <cell r="Z272" t="str">
            <v>Bilateral</v>
          </cell>
        </row>
        <row r="273">
          <cell r="F273" t="str">
            <v>ITAFM</v>
          </cell>
          <cell r="G273"/>
          <cell r="H273" t="str">
            <v>222</v>
          </cell>
          <cell r="I273" t="str">
            <v>50</v>
          </cell>
          <cell r="J273" t="str">
            <v>x</v>
          </cell>
          <cell r="K273" t="str">
            <v>YES</v>
          </cell>
          <cell r="L273" t="str">
            <v>YES</v>
          </cell>
          <cell r="M273" t="str">
            <v>YES</v>
          </cell>
          <cell r="N273" t="str">
            <v>YES</v>
          </cell>
          <cell r="O273" t="str">
            <v>YES</v>
          </cell>
          <cell r="P273" t="str">
            <v>YES</v>
          </cell>
          <cell r="Q273" t="str">
            <v>YES</v>
          </cell>
          <cell r="R273" t="str">
            <v>YES</v>
          </cell>
          <cell r="S273" t="str">
            <v>YES</v>
          </cell>
          <cell r="T273" t="str">
            <v>YES</v>
          </cell>
          <cell r="U273"/>
          <cell r="V273"/>
          <cell r="W273"/>
          <cell r="X273"/>
          <cell r="Y273" t="str">
            <v>Live</v>
          </cell>
          <cell r="Z273" t="str">
            <v>Bilateral</v>
          </cell>
        </row>
        <row r="274">
          <cell r="F274" t="str">
            <v>SURUQ</v>
          </cell>
          <cell r="G274" t="str">
            <v>SURK8</v>
          </cell>
          <cell r="H274" t="str">
            <v>746</v>
          </cell>
          <cell r="I274" t="str">
            <v>04</v>
          </cell>
          <cell r="J274" t="str">
            <v>x</v>
          </cell>
          <cell r="K274"/>
          <cell r="L274" t="str">
            <v>YES</v>
          </cell>
          <cell r="M274" t="str">
            <v>N.A</v>
          </cell>
          <cell r="N274"/>
          <cell r="O274"/>
          <cell r="P274" t="str">
            <v>YES</v>
          </cell>
          <cell r="Q274"/>
          <cell r="R274" t="str">
            <v>YES</v>
          </cell>
          <cell r="S274"/>
          <cell r="T274"/>
          <cell r="U274"/>
          <cell r="V274"/>
          <cell r="W274"/>
          <cell r="X274"/>
          <cell r="Y274" t="str">
            <v>Live</v>
          </cell>
          <cell r="Z274" t="str">
            <v>Comfone</v>
          </cell>
        </row>
        <row r="275">
          <cell r="F275" t="str">
            <v>K0001</v>
          </cell>
          <cell r="G275" t="str">
            <v>K00K8</v>
          </cell>
          <cell r="H275" t="str">
            <v>221</v>
          </cell>
          <cell r="I275" t="str">
            <v>02</v>
          </cell>
          <cell r="J275" t="str">
            <v>x</v>
          </cell>
          <cell r="K275" t="str">
            <v>YES</v>
          </cell>
          <cell r="L275" t="str">
            <v>YES</v>
          </cell>
          <cell r="M275" t="str">
            <v>YES</v>
          </cell>
          <cell r="N275" t="str">
            <v>YES</v>
          </cell>
          <cell r="O275" t="str">
            <v>YES</v>
          </cell>
          <cell r="P275" t="str">
            <v>YES</v>
          </cell>
          <cell r="Q275" t="str">
            <v>YES</v>
          </cell>
          <cell r="R275" t="str">
            <v>YES</v>
          </cell>
          <cell r="S275" t="str">
            <v>YES</v>
          </cell>
          <cell r="T275" t="str">
            <v>YES</v>
          </cell>
          <cell r="U275"/>
          <cell r="V275"/>
          <cell r="W275"/>
          <cell r="X275"/>
          <cell r="Y275" t="str">
            <v>Live</v>
          </cell>
          <cell r="Z275" t="str">
            <v>Comfone</v>
          </cell>
        </row>
        <row r="276">
          <cell r="F276" t="str">
            <v>PSEJE</v>
          </cell>
          <cell r="G276"/>
          <cell r="H276" t="str">
            <v>425</v>
          </cell>
          <cell r="I276" t="str">
            <v>05</v>
          </cell>
          <cell r="J276"/>
          <cell r="K276" t="str">
            <v>YES</v>
          </cell>
          <cell r="L276" t="str">
            <v>YES</v>
          </cell>
          <cell r="M276" t="str">
            <v>YES</v>
          </cell>
          <cell r="N276" t="str">
            <v>YES</v>
          </cell>
          <cell r="O276" t="str">
            <v>YES</v>
          </cell>
          <cell r="P276" t="str">
            <v>YES</v>
          </cell>
          <cell r="Q276"/>
          <cell r="R276"/>
          <cell r="S276"/>
          <cell r="T276"/>
          <cell r="U276"/>
          <cell r="V276"/>
          <cell r="W276"/>
          <cell r="X276"/>
          <cell r="Y276" t="str">
            <v>Live</v>
          </cell>
          <cell r="Z276" t="str">
            <v>Bilateral</v>
          </cell>
        </row>
        <row r="277">
          <cell r="F277" t="str">
            <v>KGZMC</v>
          </cell>
          <cell r="G277" t="str">
            <v>KGZK7</v>
          </cell>
          <cell r="H277" t="str">
            <v>437</v>
          </cell>
          <cell r="I277" t="str">
            <v>05</v>
          </cell>
          <cell r="J277" t="str">
            <v>x</v>
          </cell>
          <cell r="K277" t="str">
            <v>YES</v>
          </cell>
          <cell r="L277" t="str">
            <v>YES</v>
          </cell>
          <cell r="M277" t="str">
            <v>YES</v>
          </cell>
          <cell r="N277" t="str">
            <v>YES</v>
          </cell>
          <cell r="O277" t="str">
            <v>YES</v>
          </cell>
          <cell r="P277" t="str">
            <v>YES</v>
          </cell>
          <cell r="Q277" t="str">
            <v>YES</v>
          </cell>
          <cell r="R277" t="str">
            <v>YES</v>
          </cell>
          <cell r="S277" t="str">
            <v>YES</v>
          </cell>
          <cell r="T277" t="str">
            <v>YES</v>
          </cell>
          <cell r="U277"/>
          <cell r="V277"/>
          <cell r="W277"/>
          <cell r="X277"/>
          <cell r="Y277" t="str">
            <v>Live</v>
          </cell>
          <cell r="Z277" t="str">
            <v>Comfone</v>
          </cell>
        </row>
        <row r="278">
          <cell r="F278" t="str">
            <v>GBRJT</v>
          </cell>
          <cell r="G278"/>
          <cell r="H278" t="str">
            <v>234</v>
          </cell>
          <cell r="I278" t="str">
            <v>50</v>
          </cell>
          <cell r="J278" t="str">
            <v>x</v>
          </cell>
          <cell r="K278" t="str">
            <v>YES</v>
          </cell>
          <cell r="L278" t="str">
            <v>YES</v>
          </cell>
          <cell r="M278"/>
          <cell r="N278"/>
          <cell r="O278" t="str">
            <v>YES</v>
          </cell>
          <cell r="P278" t="str">
            <v>YES</v>
          </cell>
          <cell r="Q278" t="str">
            <v>YES</v>
          </cell>
          <cell r="R278" t="str">
            <v>YES</v>
          </cell>
          <cell r="S278" t="str">
            <v>YES</v>
          </cell>
          <cell r="T278"/>
          <cell r="U278"/>
          <cell r="V278"/>
          <cell r="W278"/>
          <cell r="X278"/>
          <cell r="Y278" t="str">
            <v>Live</v>
          </cell>
          <cell r="Z278" t="str">
            <v>Bilateral</v>
          </cell>
        </row>
        <row r="279">
          <cell r="F279" t="str">
            <v>ARMKT</v>
          </cell>
          <cell r="G279" t="str">
            <v>ARMK9</v>
          </cell>
          <cell r="H279" t="str">
            <v>283</v>
          </cell>
          <cell r="I279" t="str">
            <v>04</v>
          </cell>
          <cell r="J279" t="str">
            <v>x</v>
          </cell>
          <cell r="K279"/>
          <cell r="L279"/>
          <cell r="M279" t="str">
            <v>N.A</v>
          </cell>
          <cell r="N279" t="str">
            <v>N.A</v>
          </cell>
          <cell r="O279" t="str">
            <v>N.A</v>
          </cell>
          <cell r="P279" t="str">
            <v>N.A</v>
          </cell>
          <cell r="Q279" t="str">
            <v>N.A</v>
          </cell>
          <cell r="R279" t="str">
            <v>N.A</v>
          </cell>
          <cell r="S279" t="str">
            <v>N.A</v>
          </cell>
          <cell r="T279" t="str">
            <v>N.A</v>
          </cell>
          <cell r="U279"/>
          <cell r="V279"/>
          <cell r="W279"/>
          <cell r="X279"/>
          <cell r="Y279" t="str">
            <v>Terminated</v>
          </cell>
          <cell r="Z279" t="str">
            <v>Comfone</v>
          </cell>
        </row>
        <row r="280">
          <cell r="F280" t="str">
            <v>KAZKT</v>
          </cell>
          <cell r="G280" t="str">
            <v>KAZK8</v>
          </cell>
          <cell r="H280" t="str">
            <v>401</v>
          </cell>
          <cell r="I280" t="str">
            <v>01</v>
          </cell>
          <cell r="J280" t="str">
            <v>x</v>
          </cell>
          <cell r="K280" t="str">
            <v>YES</v>
          </cell>
          <cell r="L280" t="str">
            <v>YES</v>
          </cell>
          <cell r="M280" t="str">
            <v>YES</v>
          </cell>
          <cell r="N280" t="str">
            <v>YES</v>
          </cell>
          <cell r="O280" t="str">
            <v>YES</v>
          </cell>
          <cell r="P280" t="str">
            <v>YES</v>
          </cell>
          <cell r="Q280" t="str">
            <v>YES</v>
          </cell>
          <cell r="R280" t="str">
            <v>YES</v>
          </cell>
          <cell r="S280"/>
          <cell r="T280"/>
          <cell r="U280"/>
          <cell r="V280"/>
          <cell r="W280"/>
          <cell r="X280"/>
          <cell r="Y280" t="str">
            <v>Live</v>
          </cell>
          <cell r="Z280" t="str">
            <v>Comfone</v>
          </cell>
        </row>
        <row r="281">
          <cell r="F281" t="str">
            <v>KAZKZ</v>
          </cell>
          <cell r="G281"/>
          <cell r="H281" t="str">
            <v>401</v>
          </cell>
          <cell r="I281" t="str">
            <v>02</v>
          </cell>
          <cell r="J281"/>
          <cell r="K281" t="str">
            <v>YES</v>
          </cell>
          <cell r="L281" t="str">
            <v>YES</v>
          </cell>
          <cell r="M281" t="str">
            <v>YES</v>
          </cell>
          <cell r="N281" t="str">
            <v>YES</v>
          </cell>
          <cell r="O281" t="str">
            <v>YES</v>
          </cell>
          <cell r="P281" t="str">
            <v>YES</v>
          </cell>
          <cell r="Q281" t="str">
            <v>YES</v>
          </cell>
          <cell r="R281" t="str">
            <v>YES</v>
          </cell>
          <cell r="S281"/>
          <cell r="T281"/>
          <cell r="U281"/>
          <cell r="V281"/>
          <cell r="W281"/>
          <cell r="X281"/>
          <cell r="Y281" t="str">
            <v>Live</v>
          </cell>
          <cell r="Z281" t="str">
            <v>Bilateral</v>
          </cell>
        </row>
        <row r="282">
          <cell r="F282" t="str">
            <v>JPNKD</v>
          </cell>
          <cell r="G282" t="str">
            <v>JPNPT</v>
          </cell>
          <cell r="H282" t="str">
            <v>440</v>
          </cell>
          <cell r="I282" t="str">
            <v>50</v>
          </cell>
          <cell r="J282" t="str">
            <v>x</v>
          </cell>
          <cell r="K282" t="str">
            <v>YES</v>
          </cell>
          <cell r="L282"/>
          <cell r="M282" t="str">
            <v>N.A</v>
          </cell>
          <cell r="N282"/>
          <cell r="O282" t="str">
            <v>YES</v>
          </cell>
          <cell r="P282"/>
          <cell r="Q282" t="str">
            <v>YES</v>
          </cell>
          <cell r="R282"/>
          <cell r="S282"/>
          <cell r="T282"/>
          <cell r="U282"/>
          <cell r="V282"/>
          <cell r="W282"/>
          <cell r="X282"/>
          <cell r="Y282" t="str">
            <v>Live</v>
          </cell>
          <cell r="Z282" t="str">
            <v>Orange Hub</v>
          </cell>
        </row>
        <row r="283">
          <cell r="F283" t="str">
            <v>JPNKI</v>
          </cell>
          <cell r="G283" t="str">
            <v>JPNPP</v>
          </cell>
          <cell r="H283" t="str">
            <v>440</v>
          </cell>
          <cell r="I283" t="str">
            <v>51</v>
          </cell>
          <cell r="J283" t="str">
            <v>x</v>
          </cell>
          <cell r="K283" t="str">
            <v>YES</v>
          </cell>
          <cell r="L283"/>
          <cell r="M283" t="str">
            <v>N.A</v>
          </cell>
          <cell r="N283"/>
          <cell r="O283" t="str">
            <v>YES</v>
          </cell>
          <cell r="P283"/>
          <cell r="Q283" t="str">
            <v>YES</v>
          </cell>
          <cell r="R283"/>
          <cell r="S283"/>
          <cell r="T283"/>
          <cell r="U283"/>
          <cell r="V283"/>
          <cell r="W283"/>
          <cell r="X283"/>
          <cell r="Y283" t="str">
            <v>Live</v>
          </cell>
          <cell r="Z283" t="str">
            <v>Orange Hub</v>
          </cell>
        </row>
        <row r="284">
          <cell r="F284" t="str">
            <v>JPNKS</v>
          </cell>
          <cell r="G284" t="str">
            <v>JPNRC</v>
          </cell>
          <cell r="H284" t="str">
            <v>440</v>
          </cell>
          <cell r="I284" t="str">
            <v>54</v>
          </cell>
          <cell r="J284"/>
          <cell r="K284" t="str">
            <v>YES</v>
          </cell>
          <cell r="L284"/>
          <cell r="M284" t="str">
            <v>N.A</v>
          </cell>
          <cell r="N284"/>
          <cell r="O284" t="str">
            <v>YES</v>
          </cell>
          <cell r="P284"/>
          <cell r="Q284" t="str">
            <v>YES</v>
          </cell>
          <cell r="R284"/>
          <cell r="S284"/>
          <cell r="T284"/>
          <cell r="U284"/>
          <cell r="V284"/>
          <cell r="W284"/>
          <cell r="X284"/>
          <cell r="Y284" t="str">
            <v>Live</v>
          </cell>
          <cell r="Z284" t="str">
            <v>Orange Hub</v>
          </cell>
        </row>
        <row r="285">
          <cell r="F285" t="str">
            <v>IRQKK</v>
          </cell>
          <cell r="G285"/>
          <cell r="H285" t="str">
            <v>418</v>
          </cell>
          <cell r="I285" t="str">
            <v>40</v>
          </cell>
          <cell r="J285" t="str">
            <v>x</v>
          </cell>
          <cell r="K285" t="str">
            <v>YES</v>
          </cell>
          <cell r="L285" t="str">
            <v>YES</v>
          </cell>
          <cell r="M285" t="str">
            <v>YES</v>
          </cell>
          <cell r="N285" t="str">
            <v>YES</v>
          </cell>
          <cell r="O285" t="str">
            <v>YES</v>
          </cell>
          <cell r="P285" t="str">
            <v>YES</v>
          </cell>
          <cell r="Q285" t="str">
            <v>YES</v>
          </cell>
          <cell r="R285"/>
          <cell r="S285" t="str">
            <v>YES</v>
          </cell>
          <cell r="T285"/>
          <cell r="U285"/>
          <cell r="V285"/>
          <cell r="W285"/>
          <cell r="X285"/>
          <cell r="Y285" t="str">
            <v>Live</v>
          </cell>
          <cell r="Z285" t="str">
            <v>Bilateral</v>
          </cell>
        </row>
        <row r="286">
          <cell r="F286" t="str">
            <v>NLDPT</v>
          </cell>
          <cell r="G286"/>
          <cell r="H286" t="str">
            <v>204</v>
          </cell>
          <cell r="I286" t="str">
            <v>08</v>
          </cell>
          <cell r="J286" t="str">
            <v>x</v>
          </cell>
          <cell r="K286" t="str">
            <v>YES</v>
          </cell>
          <cell r="L286" t="str">
            <v>YES</v>
          </cell>
          <cell r="M286" t="str">
            <v>YES</v>
          </cell>
          <cell r="N286" t="str">
            <v>YES</v>
          </cell>
          <cell r="O286" t="str">
            <v>YES</v>
          </cell>
          <cell r="P286" t="str">
            <v>Arrêté</v>
          </cell>
          <cell r="Q286" t="str">
            <v>YES</v>
          </cell>
          <cell r="R286" t="str">
            <v>Arrêté</v>
          </cell>
          <cell r="S286" t="str">
            <v>YES</v>
          </cell>
          <cell r="T286" t="str">
            <v>YES</v>
          </cell>
          <cell r="U286"/>
          <cell r="V286"/>
          <cell r="W286"/>
          <cell r="X286"/>
          <cell r="Y286" t="str">
            <v>Live</v>
          </cell>
          <cell r="Z286" t="str">
            <v>Bilateral</v>
          </cell>
        </row>
        <row r="287">
          <cell r="F287" t="str">
            <v>KORKF</v>
          </cell>
          <cell r="G287"/>
          <cell r="H287" t="str">
            <v>450</v>
          </cell>
          <cell r="I287" t="str">
            <v>08</v>
          </cell>
          <cell r="J287" t="str">
            <v>x</v>
          </cell>
          <cell r="K287" t="str">
            <v>YES</v>
          </cell>
          <cell r="L287" t="str">
            <v>YES</v>
          </cell>
          <cell r="M287"/>
          <cell r="N287"/>
          <cell r="O287" t="str">
            <v>YES</v>
          </cell>
          <cell r="P287" t="str">
            <v>YES</v>
          </cell>
          <cell r="Q287" t="str">
            <v>YES</v>
          </cell>
          <cell r="R287" t="str">
            <v>YES</v>
          </cell>
          <cell r="S287"/>
          <cell r="T287"/>
          <cell r="U287"/>
          <cell r="V287"/>
          <cell r="W287"/>
          <cell r="X287"/>
          <cell r="Y287" t="str">
            <v>Live</v>
          </cell>
          <cell r="Z287" t="str">
            <v>Bilateral</v>
          </cell>
        </row>
        <row r="288">
          <cell r="F288" t="str">
            <v>UKRKS</v>
          </cell>
          <cell r="G288"/>
          <cell r="H288" t="str">
            <v>255</v>
          </cell>
          <cell r="I288" t="str">
            <v>03</v>
          </cell>
          <cell r="J288" t="str">
            <v>x</v>
          </cell>
          <cell r="K288" t="str">
            <v>YES</v>
          </cell>
          <cell r="L288" t="str">
            <v>YES</v>
          </cell>
          <cell r="M288" t="str">
            <v>YES</v>
          </cell>
          <cell r="N288" t="str">
            <v>YES</v>
          </cell>
          <cell r="O288" t="str">
            <v>YES</v>
          </cell>
          <cell r="P288" t="str">
            <v>YES</v>
          </cell>
          <cell r="Q288" t="str">
            <v>YES</v>
          </cell>
          <cell r="R288" t="str">
            <v>YES</v>
          </cell>
          <cell r="S288"/>
          <cell r="T288"/>
          <cell r="U288"/>
          <cell r="V288"/>
          <cell r="W288"/>
          <cell r="X288"/>
          <cell r="Y288" t="str">
            <v>Live</v>
          </cell>
          <cell r="Z288" t="str">
            <v>Bilateral</v>
          </cell>
        </row>
        <row r="289">
          <cell r="F289" t="str">
            <v>UKRRS</v>
          </cell>
          <cell r="G289"/>
          <cell r="H289" t="str">
            <v>255</v>
          </cell>
          <cell r="I289" t="str">
            <v>02</v>
          </cell>
          <cell r="J289" t="str">
            <v>x</v>
          </cell>
          <cell r="K289" t="str">
            <v>YES</v>
          </cell>
          <cell r="L289" t="str">
            <v>N.A</v>
          </cell>
          <cell r="M289" t="str">
            <v>YES</v>
          </cell>
          <cell r="N289" t="str">
            <v>N.A</v>
          </cell>
          <cell r="O289" t="str">
            <v>YES</v>
          </cell>
          <cell r="P289" t="str">
            <v>N.A</v>
          </cell>
          <cell r="Q289" t="str">
            <v>YES</v>
          </cell>
          <cell r="R289" t="str">
            <v>N.A</v>
          </cell>
          <cell r="S289"/>
          <cell r="T289" t="str">
            <v>N.A</v>
          </cell>
          <cell r="U289"/>
          <cell r="V289"/>
          <cell r="W289"/>
          <cell r="X289"/>
          <cell r="Y289" t="str">
            <v>Live</v>
          </cell>
          <cell r="Z289" t="str">
            <v>Bilateral</v>
          </cell>
        </row>
        <row r="290">
          <cell r="F290" t="str">
            <v>USA44</v>
          </cell>
          <cell r="G290"/>
          <cell r="H290" t="str">
            <v>311</v>
          </cell>
          <cell r="I290" t="str">
            <v>882</v>
          </cell>
          <cell r="J290" t="str">
            <v>x</v>
          </cell>
          <cell r="K290" t="str">
            <v>YES</v>
          </cell>
          <cell r="L290" t="str">
            <v>N.A</v>
          </cell>
          <cell r="M290" t="str">
            <v>N.A</v>
          </cell>
          <cell r="N290" t="str">
            <v>N.A</v>
          </cell>
          <cell r="O290" t="str">
            <v>YES</v>
          </cell>
          <cell r="P290" t="str">
            <v>N.A</v>
          </cell>
          <cell r="Q290" t="str">
            <v>YES</v>
          </cell>
          <cell r="R290" t="str">
            <v>N.A</v>
          </cell>
          <cell r="S290" t="str">
            <v>YES</v>
          </cell>
          <cell r="T290" t="str">
            <v>N.A</v>
          </cell>
          <cell r="U290"/>
          <cell r="V290"/>
          <cell r="W290"/>
          <cell r="X290"/>
          <cell r="Y290" t="str">
            <v>Live</v>
          </cell>
          <cell r="Z290" t="str">
            <v>Bilateral</v>
          </cell>
        </row>
        <row r="291">
          <cell r="F291" t="str">
            <v>KORLU</v>
          </cell>
          <cell r="G291"/>
          <cell r="H291" t="str">
            <v>450</v>
          </cell>
          <cell r="I291" t="str">
            <v>06</v>
          </cell>
          <cell r="J291" t="str">
            <v>x</v>
          </cell>
          <cell r="K291" t="str">
            <v>YES</v>
          </cell>
          <cell r="L291" t="str">
            <v>N.A</v>
          </cell>
          <cell r="M291" t="str">
            <v>N.A</v>
          </cell>
          <cell r="N291" t="str">
            <v>N.A</v>
          </cell>
          <cell r="O291" t="str">
            <v>YES</v>
          </cell>
          <cell r="P291" t="str">
            <v>N.A</v>
          </cell>
          <cell r="Q291" t="str">
            <v>YES</v>
          </cell>
          <cell r="R291" t="str">
            <v>N.A</v>
          </cell>
          <cell r="S291" t="str">
            <v>YES</v>
          </cell>
          <cell r="T291" t="str">
            <v>N.A</v>
          </cell>
          <cell r="U291"/>
          <cell r="V291"/>
          <cell r="W291"/>
          <cell r="X291"/>
          <cell r="Y291" t="str">
            <v>Live</v>
          </cell>
          <cell r="Z291" t="str">
            <v>Bilateral</v>
          </cell>
        </row>
        <row r="292">
          <cell r="F292" t="str">
            <v>LBYLM</v>
          </cell>
          <cell r="G292"/>
          <cell r="H292" t="str">
            <v>606</v>
          </cell>
          <cell r="I292" t="str">
            <v>00</v>
          </cell>
          <cell r="J292" t="str">
            <v>x</v>
          </cell>
          <cell r="K292" t="str">
            <v>YES</v>
          </cell>
          <cell r="L292" t="str">
            <v>YES</v>
          </cell>
          <cell r="M292" t="str">
            <v>YES</v>
          </cell>
          <cell r="N292" t="str">
            <v>YES</v>
          </cell>
          <cell r="O292" t="str">
            <v>YES</v>
          </cell>
          <cell r="P292" t="str">
            <v>YES</v>
          </cell>
          <cell r="Q292" t="str">
            <v>YES</v>
          </cell>
          <cell r="R292" t="str">
            <v>YES</v>
          </cell>
          <cell r="S292" t="str">
            <v>N.A</v>
          </cell>
          <cell r="T292"/>
          <cell r="U292"/>
          <cell r="V292"/>
          <cell r="W292"/>
          <cell r="X292"/>
          <cell r="Y292" t="str">
            <v>Live</v>
          </cell>
          <cell r="Z292" t="str">
            <v>Bilateral</v>
          </cell>
        </row>
        <row r="293">
          <cell r="F293" t="str">
            <v>BLRBT</v>
          </cell>
          <cell r="G293"/>
          <cell r="H293" t="str">
            <v>257</v>
          </cell>
          <cell r="I293" t="str">
            <v>04</v>
          </cell>
          <cell r="J293" t="str">
            <v>x</v>
          </cell>
          <cell r="K293" t="str">
            <v>YES</v>
          </cell>
          <cell r="L293" t="str">
            <v>YES</v>
          </cell>
          <cell r="M293" t="str">
            <v>YES</v>
          </cell>
          <cell r="N293" t="str">
            <v>YES</v>
          </cell>
          <cell r="O293" t="str">
            <v>YES</v>
          </cell>
          <cell r="P293" t="str">
            <v>YES</v>
          </cell>
          <cell r="Q293" t="str">
            <v>YES</v>
          </cell>
          <cell r="R293" t="str">
            <v>YES</v>
          </cell>
          <cell r="S293" t="str">
            <v>Planned</v>
          </cell>
          <cell r="T293" t="str">
            <v>Planned</v>
          </cell>
          <cell r="U293"/>
          <cell r="V293"/>
          <cell r="W293"/>
          <cell r="X293"/>
          <cell r="Y293" t="str">
            <v>Live</v>
          </cell>
          <cell r="Z293" t="str">
            <v>Bilateral</v>
          </cell>
        </row>
        <row r="294">
          <cell r="F294" t="str">
            <v>UKRAS</v>
          </cell>
          <cell r="G294" t="str">
            <v>UKRK9</v>
          </cell>
          <cell r="H294" t="str">
            <v>255</v>
          </cell>
          <cell r="I294" t="str">
            <v>06</v>
          </cell>
          <cell r="J294" t="str">
            <v>x</v>
          </cell>
          <cell r="K294" t="str">
            <v>YES</v>
          </cell>
          <cell r="L294" t="str">
            <v>YES</v>
          </cell>
          <cell r="M294" t="str">
            <v>Planned</v>
          </cell>
          <cell r="N294" t="str">
            <v>YES</v>
          </cell>
          <cell r="O294" t="str">
            <v>YES</v>
          </cell>
          <cell r="P294" t="str">
            <v>YES</v>
          </cell>
          <cell r="Q294" t="str">
            <v>YES</v>
          </cell>
          <cell r="R294" t="str">
            <v>YES</v>
          </cell>
          <cell r="S294"/>
          <cell r="T294" t="str">
            <v>YES</v>
          </cell>
          <cell r="U294"/>
          <cell r="V294"/>
          <cell r="W294"/>
          <cell r="X294"/>
          <cell r="Y294" t="str">
            <v>Live</v>
          </cell>
          <cell r="Z294" t="str">
            <v>Comfone</v>
          </cell>
        </row>
        <row r="295">
          <cell r="F295" t="str">
            <v>USACW</v>
          </cell>
          <cell r="G295" t="str">
            <v>USAJ9</v>
          </cell>
          <cell r="H295" t="str">
            <v>310</v>
          </cell>
          <cell r="I295" t="str">
            <v>690</v>
          </cell>
          <cell r="J295" t="str">
            <v>x</v>
          </cell>
          <cell r="K295" t="str">
            <v>YES</v>
          </cell>
          <cell r="L295" t="str">
            <v>YES</v>
          </cell>
          <cell r="M295" t="str">
            <v>YES</v>
          </cell>
          <cell r="N295" t="str">
            <v>YES</v>
          </cell>
          <cell r="O295" t="str">
            <v>YES</v>
          </cell>
          <cell r="P295" t="str">
            <v>YES</v>
          </cell>
          <cell r="Q295" t="str">
            <v>YES</v>
          </cell>
          <cell r="R295" t="str">
            <v>YES</v>
          </cell>
          <cell r="S295" t="str">
            <v>YES</v>
          </cell>
          <cell r="T295" t="str">
            <v>YES</v>
          </cell>
          <cell r="U295"/>
          <cell r="V295"/>
          <cell r="W295"/>
          <cell r="X295"/>
          <cell r="Y295" t="str">
            <v>Live</v>
          </cell>
          <cell r="Z295" t="str">
            <v>Comfone</v>
          </cell>
        </row>
        <row r="296">
          <cell r="F296" t="str">
            <v>LVALM</v>
          </cell>
          <cell r="G296"/>
          <cell r="H296" t="str">
            <v>247</v>
          </cell>
          <cell r="I296" t="str">
            <v>01</v>
          </cell>
          <cell r="J296" t="str">
            <v>x</v>
          </cell>
          <cell r="K296" t="str">
            <v>YES</v>
          </cell>
          <cell r="L296" t="str">
            <v>YES</v>
          </cell>
          <cell r="M296" t="str">
            <v>YES</v>
          </cell>
          <cell r="N296" t="str">
            <v>YES</v>
          </cell>
          <cell r="O296" t="str">
            <v>YES</v>
          </cell>
          <cell r="P296" t="str">
            <v>YES</v>
          </cell>
          <cell r="Q296" t="str">
            <v>YES</v>
          </cell>
          <cell r="R296" t="str">
            <v>YES</v>
          </cell>
          <cell r="S296" t="str">
            <v>YES</v>
          </cell>
          <cell r="T296" t="str">
            <v>YES</v>
          </cell>
          <cell r="U296"/>
          <cell r="V296"/>
          <cell r="W296"/>
          <cell r="X296"/>
          <cell r="Y296" t="str">
            <v>Live</v>
          </cell>
          <cell r="Z296" t="str">
            <v>Bilateral</v>
          </cell>
        </row>
        <row r="297">
          <cell r="F297" t="str">
            <v>SGPM1</v>
          </cell>
          <cell r="G297"/>
          <cell r="H297" t="str">
            <v>525</v>
          </cell>
          <cell r="I297" t="str">
            <v>03</v>
          </cell>
          <cell r="J297" t="str">
            <v>x</v>
          </cell>
          <cell r="K297" t="str">
            <v>YES</v>
          </cell>
          <cell r="L297" t="str">
            <v>Arrêté</v>
          </cell>
          <cell r="M297" t="str">
            <v>YES</v>
          </cell>
          <cell r="N297" t="str">
            <v>Arrêté</v>
          </cell>
          <cell r="O297" t="str">
            <v>YES</v>
          </cell>
          <cell r="P297" t="str">
            <v>Arrêté</v>
          </cell>
          <cell r="Q297" t="str">
            <v>YES</v>
          </cell>
          <cell r="R297" t="str">
            <v>Arrêté</v>
          </cell>
          <cell r="S297" t="str">
            <v>YES</v>
          </cell>
          <cell r="T297" t="str">
            <v>YES</v>
          </cell>
          <cell r="U297"/>
          <cell r="V297"/>
          <cell r="W297"/>
          <cell r="X297"/>
          <cell r="Y297" t="str">
            <v>Live</v>
          </cell>
          <cell r="Z297" t="str">
            <v>Bilateral</v>
          </cell>
        </row>
        <row r="298">
          <cell r="F298" t="str">
            <v>GEOMA</v>
          </cell>
          <cell r="G298" t="str">
            <v>GEOK9</v>
          </cell>
          <cell r="H298" t="str">
            <v>282</v>
          </cell>
          <cell r="I298" t="str">
            <v>02</v>
          </cell>
          <cell r="J298" t="str">
            <v>x</v>
          </cell>
          <cell r="K298" t="str">
            <v>YES</v>
          </cell>
          <cell r="L298" t="str">
            <v>YES</v>
          </cell>
          <cell r="M298" t="str">
            <v>YES</v>
          </cell>
          <cell r="N298" t="str">
            <v>YES</v>
          </cell>
          <cell r="O298" t="str">
            <v>YES</v>
          </cell>
          <cell r="P298" t="str">
            <v>YES</v>
          </cell>
          <cell r="Q298" t="str">
            <v>YES</v>
          </cell>
          <cell r="R298" t="str">
            <v>YES</v>
          </cell>
          <cell r="S298" t="str">
            <v>YES</v>
          </cell>
          <cell r="T298" t="str">
            <v>YES</v>
          </cell>
          <cell r="U298"/>
          <cell r="V298"/>
          <cell r="W298"/>
          <cell r="X298"/>
          <cell r="Y298" t="str">
            <v>Live</v>
          </cell>
          <cell r="Z298" t="str">
            <v>Comfone</v>
          </cell>
        </row>
        <row r="299">
          <cell r="F299" t="str">
            <v>MKDMM</v>
          </cell>
          <cell r="G299" t="str">
            <v>MKDK8</v>
          </cell>
          <cell r="H299" t="str">
            <v>294</v>
          </cell>
          <cell r="I299" t="str">
            <v>01</v>
          </cell>
          <cell r="J299" t="str">
            <v>x</v>
          </cell>
          <cell r="K299" t="str">
            <v>YES</v>
          </cell>
          <cell r="L299" t="str">
            <v>YES</v>
          </cell>
          <cell r="M299" t="str">
            <v>N.A</v>
          </cell>
          <cell r="N299"/>
          <cell r="O299" t="str">
            <v>YES</v>
          </cell>
          <cell r="P299" t="str">
            <v>YES</v>
          </cell>
          <cell r="Q299" t="str">
            <v>YES</v>
          </cell>
          <cell r="R299" t="str">
            <v>YES</v>
          </cell>
          <cell r="S299"/>
          <cell r="T299"/>
          <cell r="U299"/>
          <cell r="V299"/>
          <cell r="W299"/>
          <cell r="X299"/>
          <cell r="Y299" t="str">
            <v>Live</v>
          </cell>
          <cell r="Z299" t="str">
            <v>Comfone</v>
          </cell>
        </row>
        <row r="300">
          <cell r="F300" t="str">
            <v>GBRMT</v>
          </cell>
          <cell r="G300" t="str">
            <v>GBRK2</v>
          </cell>
          <cell r="H300" t="str">
            <v>234</v>
          </cell>
          <cell r="I300" t="str">
            <v>58</v>
          </cell>
          <cell r="J300" t="str">
            <v>x</v>
          </cell>
          <cell r="K300" t="str">
            <v>YES</v>
          </cell>
          <cell r="L300" t="str">
            <v>YES</v>
          </cell>
          <cell r="M300" t="str">
            <v>YES</v>
          </cell>
          <cell r="N300" t="str">
            <v>YES</v>
          </cell>
          <cell r="O300" t="str">
            <v>YES</v>
          </cell>
          <cell r="P300" t="str">
            <v>YES</v>
          </cell>
          <cell r="Q300" t="str">
            <v>YES</v>
          </cell>
          <cell r="R300" t="str">
            <v>YES</v>
          </cell>
          <cell r="S300" t="str">
            <v>YES</v>
          </cell>
          <cell r="T300" t="str">
            <v>YES</v>
          </cell>
          <cell r="U300"/>
          <cell r="V300"/>
          <cell r="W300"/>
          <cell r="X300"/>
          <cell r="Y300" t="str">
            <v>Live</v>
          </cell>
          <cell r="Z300" t="str">
            <v>Comfone</v>
          </cell>
        </row>
        <row r="301">
          <cell r="F301" t="str">
            <v>BWAGA</v>
          </cell>
          <cell r="G301" t="str">
            <v>BWAK9</v>
          </cell>
          <cell r="H301" t="str">
            <v>652</v>
          </cell>
          <cell r="I301" t="str">
            <v>01</v>
          </cell>
          <cell r="J301" t="str">
            <v>x</v>
          </cell>
          <cell r="K301" t="str">
            <v>YES</v>
          </cell>
          <cell r="L301" t="str">
            <v>YES</v>
          </cell>
          <cell r="M301" t="str">
            <v>YES</v>
          </cell>
          <cell r="N301" t="str">
            <v>YES</v>
          </cell>
          <cell r="O301" t="str">
            <v>YES</v>
          </cell>
          <cell r="P301" t="str">
            <v>YES</v>
          </cell>
          <cell r="Q301" t="str">
            <v>YES</v>
          </cell>
          <cell r="R301" t="str">
            <v>YES</v>
          </cell>
          <cell r="S301" t="str">
            <v>YES</v>
          </cell>
          <cell r="T301" t="str">
            <v>YES</v>
          </cell>
          <cell r="U301"/>
          <cell r="V301"/>
          <cell r="W301"/>
          <cell r="X301"/>
          <cell r="Y301" t="str">
            <v>Live</v>
          </cell>
          <cell r="Z301" t="str">
            <v>Comfone</v>
          </cell>
        </row>
        <row r="302">
          <cell r="F302" t="str">
            <v>MRTMT</v>
          </cell>
          <cell r="G302"/>
          <cell r="H302" t="str">
            <v>609</v>
          </cell>
          <cell r="I302" t="str">
            <v>01</v>
          </cell>
          <cell r="J302" t="str">
            <v>x</v>
          </cell>
          <cell r="K302" t="str">
            <v>YES</v>
          </cell>
          <cell r="L302" t="str">
            <v>YES</v>
          </cell>
          <cell r="M302"/>
          <cell r="N302" t="str">
            <v>YES</v>
          </cell>
          <cell r="O302"/>
          <cell r="P302" t="str">
            <v>YES</v>
          </cell>
          <cell r="Q302"/>
          <cell r="R302" t="str">
            <v>YES</v>
          </cell>
          <cell r="S302"/>
          <cell r="T302"/>
          <cell r="U302"/>
          <cell r="V302"/>
          <cell r="W302"/>
          <cell r="X302"/>
          <cell r="Y302" t="str">
            <v>Live</v>
          </cell>
          <cell r="Z302" t="str">
            <v>Bilateral</v>
          </cell>
        </row>
        <row r="303">
          <cell r="F303" t="str">
            <v>MRTMM</v>
          </cell>
          <cell r="G303" t="str">
            <v>MRTFT</v>
          </cell>
          <cell r="H303" t="str">
            <v>609</v>
          </cell>
          <cell r="I303" t="str">
            <v>10</v>
          </cell>
          <cell r="J303"/>
          <cell r="K303" t="str">
            <v>YES</v>
          </cell>
          <cell r="L303" t="str">
            <v>YES</v>
          </cell>
          <cell r="M303" t="str">
            <v>YES</v>
          </cell>
          <cell r="N303" t="str">
            <v>YES</v>
          </cell>
          <cell r="O303" t="str">
            <v>YES</v>
          </cell>
          <cell r="P303" t="str">
            <v>YES</v>
          </cell>
          <cell r="Q303" t="str">
            <v>YES</v>
          </cell>
          <cell r="R303" t="str">
            <v>YES</v>
          </cell>
          <cell r="S303"/>
          <cell r="T303"/>
          <cell r="U303"/>
          <cell r="V303"/>
          <cell r="W303"/>
          <cell r="X303"/>
          <cell r="Y303" t="str">
            <v>Live</v>
          </cell>
          <cell r="Z303" t="str">
            <v>Orange Hub</v>
          </cell>
        </row>
        <row r="304">
          <cell r="F304" t="str">
            <v>MOZ01</v>
          </cell>
          <cell r="G304"/>
          <cell r="H304" t="str">
            <v>643</v>
          </cell>
          <cell r="I304" t="str">
            <v>01</v>
          </cell>
          <cell r="J304" t="str">
            <v>x</v>
          </cell>
          <cell r="K304" t="str">
            <v>YES</v>
          </cell>
          <cell r="L304" t="str">
            <v>YES</v>
          </cell>
          <cell r="M304"/>
          <cell r="N304"/>
          <cell r="O304" t="str">
            <v>YES</v>
          </cell>
          <cell r="P304" t="str">
            <v>YES</v>
          </cell>
          <cell r="Q304" t="str">
            <v>YES</v>
          </cell>
          <cell r="R304" t="str">
            <v>YES</v>
          </cell>
          <cell r="S304"/>
          <cell r="T304"/>
          <cell r="U304"/>
          <cell r="V304"/>
          <cell r="W304"/>
          <cell r="X304"/>
          <cell r="Y304" t="str">
            <v>Live</v>
          </cell>
          <cell r="Z304" t="str">
            <v>Bilateral</v>
          </cell>
        </row>
        <row r="305">
          <cell r="F305" t="str">
            <v>IRN11</v>
          </cell>
          <cell r="G305"/>
          <cell r="H305" t="str">
            <v>432</v>
          </cell>
          <cell r="I305" t="str">
            <v>11</v>
          </cell>
          <cell r="J305" t="str">
            <v>x</v>
          </cell>
          <cell r="K305" t="str">
            <v>YES</v>
          </cell>
          <cell r="L305"/>
          <cell r="M305" t="str">
            <v>YES</v>
          </cell>
          <cell r="N305"/>
          <cell r="O305" t="str">
            <v>YES</v>
          </cell>
          <cell r="P305"/>
          <cell r="Q305" t="str">
            <v>YES</v>
          </cell>
          <cell r="R305"/>
          <cell r="S305" t="str">
            <v>YES</v>
          </cell>
          <cell r="T305"/>
          <cell r="U305"/>
          <cell r="V305"/>
          <cell r="W305"/>
          <cell r="X305"/>
          <cell r="Y305" t="str">
            <v>Live</v>
          </cell>
          <cell r="Z305" t="str">
            <v>Bilateral</v>
          </cell>
        </row>
        <row r="306">
          <cell r="F306" t="str">
            <v>RUSNW</v>
          </cell>
          <cell r="G306"/>
          <cell r="H306" t="str">
            <v>250</v>
          </cell>
          <cell r="I306" t="str">
            <v>02</v>
          </cell>
          <cell r="J306" t="str">
            <v>x</v>
          </cell>
          <cell r="K306" t="str">
            <v>YES</v>
          </cell>
          <cell r="L306" t="str">
            <v>YES</v>
          </cell>
          <cell r="M306" t="str">
            <v>YES</v>
          </cell>
          <cell r="N306" t="str">
            <v>YES</v>
          </cell>
          <cell r="O306" t="str">
            <v>YES</v>
          </cell>
          <cell r="P306" t="str">
            <v>YES</v>
          </cell>
          <cell r="Q306" t="str">
            <v>YES</v>
          </cell>
          <cell r="R306" t="str">
            <v>YES</v>
          </cell>
          <cell r="S306" t="str">
            <v>YES</v>
          </cell>
          <cell r="T306"/>
          <cell r="U306"/>
          <cell r="V306"/>
          <cell r="W306"/>
          <cell r="X306"/>
          <cell r="Y306" t="str">
            <v>Live</v>
          </cell>
          <cell r="Z306" t="str">
            <v>Bilateral</v>
          </cell>
        </row>
        <row r="307">
          <cell r="F307" t="str">
            <v>MLTMM</v>
          </cell>
          <cell r="G307"/>
          <cell r="H307" t="str">
            <v>278</v>
          </cell>
          <cell r="I307" t="str">
            <v>77</v>
          </cell>
          <cell r="J307" t="str">
            <v>x</v>
          </cell>
          <cell r="K307" t="str">
            <v>YES</v>
          </cell>
          <cell r="L307" t="str">
            <v>YES</v>
          </cell>
          <cell r="M307" t="str">
            <v>YES</v>
          </cell>
          <cell r="N307" t="str">
            <v>YES</v>
          </cell>
          <cell r="O307" t="str">
            <v>YES</v>
          </cell>
          <cell r="P307" t="str">
            <v>YES</v>
          </cell>
          <cell r="Q307" t="str">
            <v>YES</v>
          </cell>
          <cell r="R307" t="str">
            <v>YES</v>
          </cell>
          <cell r="S307" t="str">
            <v>YES</v>
          </cell>
          <cell r="T307" t="str">
            <v>YES</v>
          </cell>
          <cell r="U307"/>
          <cell r="V307"/>
          <cell r="W307"/>
          <cell r="X307"/>
          <cell r="Y307" t="str">
            <v>Live</v>
          </cell>
          <cell r="Z307" t="str">
            <v>Bilateral</v>
          </cell>
        </row>
        <row r="308">
          <cell r="F308" t="str">
            <v>IRLME</v>
          </cell>
          <cell r="G308" t="str">
            <v>IRLK7</v>
          </cell>
          <cell r="H308" t="str">
            <v>272</v>
          </cell>
          <cell r="I308" t="str">
            <v>03</v>
          </cell>
          <cell r="J308" t="str">
            <v>x</v>
          </cell>
          <cell r="K308" t="str">
            <v>YES</v>
          </cell>
          <cell r="L308" t="str">
            <v>YES</v>
          </cell>
          <cell r="M308" t="str">
            <v>YES</v>
          </cell>
          <cell r="N308" t="str">
            <v>YES</v>
          </cell>
          <cell r="O308" t="str">
            <v>YES</v>
          </cell>
          <cell r="P308" t="str">
            <v>YES</v>
          </cell>
          <cell r="Q308" t="str">
            <v>YES</v>
          </cell>
          <cell r="R308" t="str">
            <v>YES</v>
          </cell>
          <cell r="S308" t="str">
            <v>YES</v>
          </cell>
          <cell r="T308" t="str">
            <v>YES</v>
          </cell>
          <cell r="U308"/>
          <cell r="V308"/>
          <cell r="W308"/>
          <cell r="X308"/>
          <cell r="Y308" t="str">
            <v>Live</v>
          </cell>
          <cell r="Z308" t="str">
            <v>Comfone</v>
          </cell>
        </row>
        <row r="309">
          <cell r="F309" t="str">
            <v>TZAMB</v>
          </cell>
          <cell r="G309" t="str">
            <v>TZAK8</v>
          </cell>
          <cell r="H309" t="str">
            <v>640</v>
          </cell>
          <cell r="I309" t="str">
            <v>02</v>
          </cell>
          <cell r="J309" t="str">
            <v>x</v>
          </cell>
          <cell r="K309" t="str">
            <v>YES</v>
          </cell>
          <cell r="L309" t="str">
            <v>YES</v>
          </cell>
          <cell r="M309"/>
          <cell r="N309" t="str">
            <v>YES</v>
          </cell>
          <cell r="O309" t="str">
            <v>YES</v>
          </cell>
          <cell r="P309" t="str">
            <v>YES</v>
          </cell>
          <cell r="Q309" t="str">
            <v>YES</v>
          </cell>
          <cell r="R309" t="str">
            <v>YES</v>
          </cell>
          <cell r="S309"/>
          <cell r="T309"/>
          <cell r="U309"/>
          <cell r="V309"/>
          <cell r="W309"/>
          <cell r="X309"/>
          <cell r="Y309" t="str">
            <v>Live</v>
          </cell>
          <cell r="Z309" t="str">
            <v>Comfone</v>
          </cell>
        </row>
        <row r="310">
          <cell r="F310" t="str">
            <v>MNGMC</v>
          </cell>
          <cell r="G310"/>
          <cell r="H310" t="str">
            <v>428</v>
          </cell>
          <cell r="I310" t="str">
            <v>99</v>
          </cell>
          <cell r="J310" t="str">
            <v>x</v>
          </cell>
          <cell r="K310" t="str">
            <v>YES</v>
          </cell>
          <cell r="L310" t="str">
            <v>YES</v>
          </cell>
          <cell r="M310"/>
          <cell r="N310"/>
          <cell r="O310" t="str">
            <v>YES</v>
          </cell>
          <cell r="P310" t="str">
            <v>YES</v>
          </cell>
          <cell r="Q310" t="str">
            <v>YES</v>
          </cell>
          <cell r="R310" t="str">
            <v>YES</v>
          </cell>
          <cell r="S310"/>
          <cell r="T310"/>
          <cell r="U310"/>
          <cell r="V310"/>
          <cell r="W310"/>
          <cell r="X310"/>
          <cell r="Y310" t="str">
            <v>Live</v>
          </cell>
          <cell r="Z310" t="str">
            <v>Bilateral</v>
          </cell>
        </row>
        <row r="311">
          <cell r="F311" t="str">
            <v>KAZ77</v>
          </cell>
          <cell r="G311"/>
          <cell r="H311" t="str">
            <v>401</v>
          </cell>
          <cell r="I311" t="str">
            <v>77</v>
          </cell>
          <cell r="J311" t="str">
            <v>x</v>
          </cell>
          <cell r="K311" t="str">
            <v>YES</v>
          </cell>
          <cell r="L311" t="str">
            <v>YES</v>
          </cell>
          <cell r="M311" t="str">
            <v>YES</v>
          </cell>
          <cell r="N311"/>
          <cell r="O311" t="str">
            <v>YES</v>
          </cell>
          <cell r="P311" t="str">
            <v>YES</v>
          </cell>
          <cell r="Q311" t="str">
            <v>YES</v>
          </cell>
          <cell r="R311" t="str">
            <v>YES</v>
          </cell>
          <cell r="S311" t="str">
            <v>N.A</v>
          </cell>
          <cell r="T311"/>
          <cell r="U311"/>
          <cell r="V311"/>
          <cell r="W311"/>
          <cell r="X311"/>
          <cell r="Y311" t="str">
            <v>Live</v>
          </cell>
          <cell r="Z311" t="str">
            <v>Bilateral</v>
          </cell>
        </row>
        <row r="312">
          <cell r="F312" t="str">
            <v>PAKMK</v>
          </cell>
          <cell r="G312"/>
          <cell r="H312" t="str">
            <v>410</v>
          </cell>
          <cell r="I312" t="str">
            <v>01</v>
          </cell>
          <cell r="J312"/>
          <cell r="K312" t="str">
            <v>YES</v>
          </cell>
          <cell r="L312" t="str">
            <v>YES</v>
          </cell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 t="str">
            <v>Live</v>
          </cell>
          <cell r="Z312" t="str">
            <v>Bilateral</v>
          </cell>
        </row>
        <row r="313">
          <cell r="F313" t="str">
            <v>SAUET</v>
          </cell>
          <cell r="G313"/>
          <cell r="H313" t="str">
            <v>420</v>
          </cell>
          <cell r="I313" t="str">
            <v>03</v>
          </cell>
          <cell r="J313" t="str">
            <v>x</v>
          </cell>
          <cell r="K313" t="str">
            <v>YES</v>
          </cell>
          <cell r="L313" t="str">
            <v>YES</v>
          </cell>
          <cell r="M313" t="str">
            <v>YES</v>
          </cell>
          <cell r="N313" t="str">
            <v>YES</v>
          </cell>
          <cell r="O313" t="str">
            <v>YES</v>
          </cell>
          <cell r="P313" t="str">
            <v>YES</v>
          </cell>
          <cell r="Q313" t="str">
            <v>YES</v>
          </cell>
          <cell r="R313" t="str">
            <v>YES</v>
          </cell>
          <cell r="S313" t="str">
            <v>YES</v>
          </cell>
          <cell r="T313" t="str">
            <v>YES</v>
          </cell>
          <cell r="U313"/>
          <cell r="V313"/>
          <cell r="W313"/>
          <cell r="X313"/>
          <cell r="Y313" t="str">
            <v>Live</v>
          </cell>
          <cell r="Z313" t="str">
            <v>Bilateral</v>
          </cell>
        </row>
        <row r="314">
          <cell r="F314" t="str">
            <v>AAZ24</v>
          </cell>
          <cell r="G314"/>
          <cell r="H314" t="str">
            <v>208</v>
          </cell>
          <cell r="I314" t="str">
            <v>24</v>
          </cell>
          <cell r="J314" t="str">
            <v>x</v>
          </cell>
          <cell r="K314" t="str">
            <v>YES</v>
          </cell>
          <cell r="L314" t="str">
            <v>N.A</v>
          </cell>
          <cell r="M314" t="str">
            <v>N.A</v>
          </cell>
          <cell r="N314" t="str">
            <v>N.A</v>
          </cell>
          <cell r="O314" t="str">
            <v>YES</v>
          </cell>
          <cell r="P314" t="str">
            <v>N.A</v>
          </cell>
          <cell r="Q314" t="str">
            <v>YES</v>
          </cell>
          <cell r="R314" t="str">
            <v>N.A</v>
          </cell>
          <cell r="S314" t="str">
            <v>YES</v>
          </cell>
          <cell r="T314" t="str">
            <v>N.A</v>
          </cell>
          <cell r="U314"/>
          <cell r="V314"/>
          <cell r="W314"/>
          <cell r="X314"/>
          <cell r="Y314" t="str">
            <v>Live</v>
          </cell>
          <cell r="Z314" t="str">
            <v>Bilateral</v>
          </cell>
        </row>
        <row r="315">
          <cell r="F315" t="str">
            <v>LKA71</v>
          </cell>
          <cell r="G315" t="str">
            <v>LKAK9</v>
          </cell>
          <cell r="H315" t="str">
            <v>413</v>
          </cell>
          <cell r="I315" t="str">
            <v>01</v>
          </cell>
          <cell r="J315" t="str">
            <v>x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YES</v>
          </cell>
          <cell r="O315" t="str">
            <v>YES</v>
          </cell>
          <cell r="P315" t="str">
            <v>YES</v>
          </cell>
          <cell r="Q315" t="str">
            <v>YES</v>
          </cell>
          <cell r="R315" t="str">
            <v>YES</v>
          </cell>
          <cell r="S315" t="str">
            <v>YES</v>
          </cell>
          <cell r="T315" t="str">
            <v>YES</v>
          </cell>
          <cell r="U315"/>
          <cell r="V315"/>
          <cell r="W315"/>
          <cell r="X315"/>
          <cell r="Y315" t="str">
            <v>Live</v>
          </cell>
          <cell r="Z315" t="str">
            <v>Comfone</v>
          </cell>
        </row>
        <row r="316">
          <cell r="F316" t="str">
            <v>MDAMC</v>
          </cell>
          <cell r="G316" t="str">
            <v>MDAK9</v>
          </cell>
          <cell r="H316" t="str">
            <v>259</v>
          </cell>
          <cell r="I316" t="str">
            <v>02</v>
          </cell>
          <cell r="J316" t="str">
            <v>x</v>
          </cell>
          <cell r="K316" t="str">
            <v>YES</v>
          </cell>
          <cell r="L316" t="str">
            <v>YES</v>
          </cell>
          <cell r="M316"/>
          <cell r="N316"/>
          <cell r="O316" t="str">
            <v>YES</v>
          </cell>
          <cell r="P316" t="str">
            <v>YES</v>
          </cell>
          <cell r="Q316" t="str">
            <v>YES</v>
          </cell>
          <cell r="R316" t="str">
            <v>YES</v>
          </cell>
          <cell r="S316"/>
          <cell r="T316" t="str">
            <v>YES</v>
          </cell>
          <cell r="U316"/>
          <cell r="V316"/>
          <cell r="W316"/>
          <cell r="X316"/>
          <cell r="Y316" t="str">
            <v>Live</v>
          </cell>
          <cell r="Z316" t="str">
            <v>Comfone</v>
          </cell>
        </row>
        <row r="317">
          <cell r="F317" t="str">
            <v>MDAUN</v>
          </cell>
          <cell r="G317" t="str">
            <v>MDAK8</v>
          </cell>
          <cell r="H317" t="str">
            <v>259</v>
          </cell>
          <cell r="I317" t="str">
            <v>05</v>
          </cell>
          <cell r="J317" t="str">
            <v>x</v>
          </cell>
          <cell r="K317" t="str">
            <v>YES</v>
          </cell>
          <cell r="L317" t="str">
            <v>YES</v>
          </cell>
          <cell r="M317" t="str">
            <v>YES</v>
          </cell>
          <cell r="N317" t="str">
            <v>YES</v>
          </cell>
          <cell r="O317" t="str">
            <v>YES</v>
          </cell>
          <cell r="P317" t="str">
            <v>YES</v>
          </cell>
          <cell r="Q317" t="str">
            <v>YES</v>
          </cell>
          <cell r="R317" t="str">
            <v>YES</v>
          </cell>
          <cell r="S317" t="str">
            <v>YES</v>
          </cell>
          <cell r="T317" t="str">
            <v>YES</v>
          </cell>
          <cell r="U317"/>
          <cell r="V317"/>
          <cell r="W317"/>
          <cell r="X317"/>
          <cell r="Y317" t="str">
            <v>Live</v>
          </cell>
          <cell r="Z317" t="str">
            <v>Comfone</v>
          </cell>
        </row>
        <row r="318">
          <cell r="F318" t="str">
            <v>AAMOM</v>
          </cell>
          <cell r="G318" t="str">
            <v>MCORM</v>
          </cell>
          <cell r="H318" t="str">
            <v>901</v>
          </cell>
          <cell r="I318" t="str">
            <v>27</v>
          </cell>
          <cell r="J318" t="str">
            <v>x</v>
          </cell>
          <cell r="K318" t="str">
            <v>N.A</v>
          </cell>
          <cell r="L318" t="str">
            <v>YES</v>
          </cell>
          <cell r="M318" t="str">
            <v>N.A</v>
          </cell>
          <cell r="N318" t="str">
            <v>Planned</v>
          </cell>
          <cell r="O318" t="str">
            <v>N.A</v>
          </cell>
          <cell r="P318" t="str">
            <v>YES</v>
          </cell>
          <cell r="Q318" t="str">
            <v>N.A</v>
          </cell>
          <cell r="R318" t="str">
            <v>YES</v>
          </cell>
          <cell r="S318" t="str">
            <v>N.A</v>
          </cell>
          <cell r="T318"/>
          <cell r="U318"/>
          <cell r="V318"/>
          <cell r="W318"/>
          <cell r="X318"/>
          <cell r="Y318" t="str">
            <v>Live</v>
          </cell>
          <cell r="Z318" t="str">
            <v>Orange Hub</v>
          </cell>
        </row>
        <row r="319">
          <cell r="F319" t="str">
            <v>MCOM2</v>
          </cell>
          <cell r="G319" t="str">
            <v>MCORH</v>
          </cell>
          <cell r="H319" t="str">
            <v>212</v>
          </cell>
          <cell r="I319" t="str">
            <v>10</v>
          </cell>
          <cell r="J319" t="str">
            <v>x</v>
          </cell>
          <cell r="K319" t="str">
            <v>N.A</v>
          </cell>
          <cell r="L319" t="str">
            <v>YES</v>
          </cell>
          <cell r="M319" t="str">
            <v>N.A</v>
          </cell>
          <cell r="N319" t="str">
            <v>YES</v>
          </cell>
          <cell r="O319" t="str">
            <v>N.A</v>
          </cell>
          <cell r="P319" t="str">
            <v>YES</v>
          </cell>
          <cell r="Q319" t="str">
            <v>N.A</v>
          </cell>
          <cell r="R319" t="str">
            <v>YES</v>
          </cell>
          <cell r="S319" t="str">
            <v>N.A</v>
          </cell>
          <cell r="T319" t="str">
            <v>YES</v>
          </cell>
          <cell r="U319"/>
          <cell r="V319"/>
          <cell r="W319"/>
          <cell r="X319"/>
          <cell r="Y319" t="str">
            <v>Live</v>
          </cell>
          <cell r="Z319" t="str">
            <v>Orange Hub</v>
          </cell>
        </row>
        <row r="320">
          <cell r="F320" t="str">
            <v>TGOTL</v>
          </cell>
          <cell r="G320"/>
          <cell r="H320" t="str">
            <v>615</v>
          </cell>
          <cell r="I320" t="str">
            <v>03</v>
          </cell>
          <cell r="J320" t="str">
            <v>x</v>
          </cell>
          <cell r="K320" t="str">
            <v>YES</v>
          </cell>
          <cell r="L320" t="str">
            <v>YES</v>
          </cell>
          <cell r="M320" t="str">
            <v>YES</v>
          </cell>
          <cell r="N320" t="str">
            <v>YES</v>
          </cell>
          <cell r="O320" t="str">
            <v>YES</v>
          </cell>
          <cell r="P320" t="str">
            <v>YES</v>
          </cell>
          <cell r="Q320" t="str">
            <v>YES</v>
          </cell>
          <cell r="R320" t="str">
            <v>YES</v>
          </cell>
          <cell r="S320" t="str">
            <v>YES</v>
          </cell>
          <cell r="T320" t="str">
            <v>YES</v>
          </cell>
          <cell r="U320"/>
          <cell r="V320"/>
          <cell r="W320"/>
          <cell r="X320"/>
          <cell r="Y320" t="str">
            <v>Live</v>
          </cell>
          <cell r="Z320" t="str">
            <v>Bilateral</v>
          </cell>
        </row>
        <row r="321">
          <cell r="F321" t="str">
            <v>CIV02</v>
          </cell>
          <cell r="G321"/>
          <cell r="H321" t="str">
            <v>612</v>
          </cell>
          <cell r="I321" t="str">
            <v>02</v>
          </cell>
          <cell r="J321" t="str">
            <v>x</v>
          </cell>
          <cell r="K321" t="str">
            <v>YES</v>
          </cell>
          <cell r="L321" t="str">
            <v>YES</v>
          </cell>
          <cell r="M321" t="str">
            <v>YES</v>
          </cell>
          <cell r="N321" t="str">
            <v>YES</v>
          </cell>
          <cell r="O321" t="str">
            <v>YES</v>
          </cell>
          <cell r="P321" t="str">
            <v>YES</v>
          </cell>
          <cell r="Q321" t="str">
            <v>YES</v>
          </cell>
          <cell r="R321" t="str">
            <v>YES</v>
          </cell>
          <cell r="S321" t="str">
            <v>YES</v>
          </cell>
          <cell r="T321" t="str">
            <v>Planned</v>
          </cell>
          <cell r="U321"/>
          <cell r="V321"/>
          <cell r="W321"/>
          <cell r="X321"/>
          <cell r="Y321" t="str">
            <v>Live</v>
          </cell>
          <cell r="Z321" t="str">
            <v>Bilateral</v>
          </cell>
        </row>
        <row r="322">
          <cell r="F322" t="str">
            <v>GAB01</v>
          </cell>
          <cell r="G322" t="str">
            <v>GABK8</v>
          </cell>
          <cell r="H322" t="str">
            <v>628</v>
          </cell>
          <cell r="I322" t="str">
            <v>01</v>
          </cell>
          <cell r="J322" t="str">
            <v>x</v>
          </cell>
          <cell r="K322" t="str">
            <v>YES</v>
          </cell>
          <cell r="L322" t="str">
            <v>YES</v>
          </cell>
          <cell r="M322" t="str">
            <v>YES</v>
          </cell>
          <cell r="N322" t="str">
            <v>YES</v>
          </cell>
          <cell r="O322" t="str">
            <v>YES</v>
          </cell>
          <cell r="P322" t="str">
            <v>YES</v>
          </cell>
          <cell r="Q322" t="str">
            <v>YES</v>
          </cell>
          <cell r="R322" t="str">
            <v>YES</v>
          </cell>
          <cell r="S322" t="str">
            <v>YES</v>
          </cell>
          <cell r="T322" t="str">
            <v>YES</v>
          </cell>
          <cell r="U322"/>
          <cell r="V322"/>
          <cell r="W322"/>
          <cell r="X322"/>
          <cell r="Y322" t="str">
            <v>Live</v>
          </cell>
          <cell r="Z322" t="str">
            <v>Comfone</v>
          </cell>
        </row>
        <row r="323">
          <cell r="F323" t="str">
            <v>MLI01</v>
          </cell>
          <cell r="G323"/>
          <cell r="H323" t="str">
            <v>610</v>
          </cell>
          <cell r="I323" t="str">
            <v>01</v>
          </cell>
          <cell r="J323" t="str">
            <v>x</v>
          </cell>
          <cell r="K323" t="str">
            <v>YES</v>
          </cell>
          <cell r="L323" t="str">
            <v>YES</v>
          </cell>
          <cell r="M323" t="str">
            <v>YES</v>
          </cell>
          <cell r="N323"/>
          <cell r="O323" t="str">
            <v>YES</v>
          </cell>
          <cell r="P323" t="str">
            <v>Arrêté</v>
          </cell>
          <cell r="Q323" t="str">
            <v>YES</v>
          </cell>
          <cell r="R323" t="str">
            <v>Arrêté</v>
          </cell>
          <cell r="S323" t="str">
            <v>YES</v>
          </cell>
          <cell r="T323" t="str">
            <v>YES</v>
          </cell>
          <cell r="U323"/>
          <cell r="V323"/>
          <cell r="W323"/>
          <cell r="X323"/>
          <cell r="Y323" t="str">
            <v>Live</v>
          </cell>
          <cell r="Z323" t="str">
            <v>Bilateral</v>
          </cell>
        </row>
        <row r="324">
          <cell r="F324" t="str">
            <v>VENMV</v>
          </cell>
          <cell r="G324"/>
          <cell r="H324" t="str">
            <v>734</v>
          </cell>
          <cell r="I324" t="str">
            <v>06</v>
          </cell>
          <cell r="J324" t="str">
            <v>x</v>
          </cell>
          <cell r="K324" t="str">
            <v>YES</v>
          </cell>
          <cell r="L324" t="str">
            <v>YES</v>
          </cell>
          <cell r="M324"/>
          <cell r="N324"/>
          <cell r="O324" t="str">
            <v>YES</v>
          </cell>
          <cell r="P324" t="str">
            <v>YES</v>
          </cell>
          <cell r="Q324" t="str">
            <v>YES</v>
          </cell>
          <cell r="R324" t="str">
            <v>YES</v>
          </cell>
          <cell r="S324"/>
          <cell r="T324"/>
          <cell r="U324"/>
          <cell r="V324"/>
          <cell r="W324"/>
          <cell r="X324"/>
          <cell r="Y324" t="str">
            <v>Live</v>
          </cell>
          <cell r="Z324" t="str">
            <v>Bilateral</v>
          </cell>
        </row>
        <row r="325">
          <cell r="F325" t="str">
            <v>MOZVG</v>
          </cell>
          <cell r="G325" t="str">
            <v>MOZK9</v>
          </cell>
          <cell r="H325" t="str">
            <v>643</v>
          </cell>
          <cell r="I325" t="str">
            <v>03</v>
          </cell>
          <cell r="J325" t="str">
            <v>x</v>
          </cell>
          <cell r="K325"/>
          <cell r="L325" t="str">
            <v>YES</v>
          </cell>
          <cell r="M325"/>
          <cell r="N325" t="str">
            <v>YES</v>
          </cell>
          <cell r="O325"/>
          <cell r="P325" t="str">
            <v>YES</v>
          </cell>
          <cell r="Q325"/>
          <cell r="R325" t="str">
            <v>YES</v>
          </cell>
          <cell r="S325"/>
          <cell r="T325" t="str">
            <v>YES</v>
          </cell>
          <cell r="U325"/>
          <cell r="V325"/>
          <cell r="W325"/>
          <cell r="X325"/>
          <cell r="Y325" t="str">
            <v>Live</v>
          </cell>
          <cell r="Z325" t="str">
            <v>Comfone</v>
          </cell>
        </row>
        <row r="326">
          <cell r="F326" t="str">
            <v>MMRPT</v>
          </cell>
          <cell r="G326" t="str">
            <v>MMRFT</v>
          </cell>
          <cell r="H326" t="str">
            <v>414</v>
          </cell>
          <cell r="I326" t="str">
            <v>01</v>
          </cell>
          <cell r="J326" t="str">
            <v>x</v>
          </cell>
          <cell r="K326" t="str">
            <v>YES</v>
          </cell>
          <cell r="L326" t="str">
            <v>YES</v>
          </cell>
          <cell r="M326" t="str">
            <v>YES</v>
          </cell>
          <cell r="N326"/>
          <cell r="O326"/>
          <cell r="P326" t="str">
            <v>YES</v>
          </cell>
          <cell r="Q326"/>
          <cell r="R326" t="str">
            <v>YES</v>
          </cell>
          <cell r="S326"/>
          <cell r="T326"/>
          <cell r="U326"/>
          <cell r="V326"/>
          <cell r="W326"/>
          <cell r="X326"/>
          <cell r="Y326" t="str">
            <v>Live</v>
          </cell>
          <cell r="Z326" t="str">
            <v>Orange Hub</v>
          </cell>
        </row>
        <row r="327">
          <cell r="F327" t="str">
            <v>NAM01</v>
          </cell>
          <cell r="G327" t="str">
            <v>NAMK8</v>
          </cell>
          <cell r="H327" t="str">
            <v>649</v>
          </cell>
          <cell r="I327" t="str">
            <v>01</v>
          </cell>
          <cell r="J327" t="str">
            <v>x</v>
          </cell>
          <cell r="K327" t="str">
            <v>YES</v>
          </cell>
          <cell r="L327" t="str">
            <v>YES</v>
          </cell>
          <cell r="M327" t="str">
            <v>N.A</v>
          </cell>
          <cell r="N327"/>
          <cell r="O327" t="str">
            <v>YES</v>
          </cell>
          <cell r="P327" t="str">
            <v>YES</v>
          </cell>
          <cell r="Q327" t="str">
            <v>YES</v>
          </cell>
          <cell r="R327" t="str">
            <v>YES</v>
          </cell>
          <cell r="S327" t="str">
            <v>N.A</v>
          </cell>
          <cell r="T327"/>
          <cell r="U327"/>
          <cell r="V327"/>
          <cell r="W327"/>
          <cell r="X327"/>
          <cell r="Y327" t="str">
            <v>Live</v>
          </cell>
          <cell r="Z327" t="str">
            <v>Comfone</v>
          </cell>
        </row>
        <row r="328">
          <cell r="F328" t="str">
            <v>AUTMT</v>
          </cell>
          <cell r="G328" t="str">
            <v>AUTK5</v>
          </cell>
          <cell r="H328">
            <v>232</v>
          </cell>
          <cell r="I328" t="str">
            <v>20</v>
          </cell>
          <cell r="J328" t="str">
            <v>x</v>
          </cell>
          <cell r="K328" t="str">
            <v>YES</v>
          </cell>
          <cell r="L328" t="str">
            <v>N.A</v>
          </cell>
          <cell r="M328" t="str">
            <v>YES</v>
          </cell>
          <cell r="N328" t="str">
            <v>N.A</v>
          </cell>
          <cell r="O328" t="str">
            <v>YES</v>
          </cell>
          <cell r="P328" t="str">
            <v>N.A</v>
          </cell>
          <cell r="Q328" t="str">
            <v>YES</v>
          </cell>
          <cell r="R328" t="str">
            <v>N.A</v>
          </cell>
          <cell r="S328" t="str">
            <v>YES</v>
          </cell>
          <cell r="T328" t="str">
            <v>N.A</v>
          </cell>
          <cell r="U328"/>
          <cell r="V328"/>
          <cell r="W328"/>
          <cell r="X328"/>
          <cell r="Y328" t="str">
            <v>Live</v>
          </cell>
          <cell r="Z328" t="str">
            <v>Comfone</v>
          </cell>
        </row>
        <row r="329">
          <cell r="F329" t="str">
            <v>BIHMS</v>
          </cell>
          <cell r="G329" t="str">
            <v>BIHK9</v>
          </cell>
          <cell r="H329" t="str">
            <v>218</v>
          </cell>
          <cell r="I329" t="str">
            <v>05</v>
          </cell>
          <cell r="J329" t="str">
            <v>x</v>
          </cell>
          <cell r="K329" t="str">
            <v>YES</v>
          </cell>
          <cell r="L329" t="str">
            <v>YES</v>
          </cell>
          <cell r="M329" t="str">
            <v>YES</v>
          </cell>
          <cell r="N329" t="str">
            <v>YES</v>
          </cell>
          <cell r="O329" t="str">
            <v>YES</v>
          </cell>
          <cell r="P329" t="str">
            <v>YES</v>
          </cell>
          <cell r="Q329" t="str">
            <v>YES</v>
          </cell>
          <cell r="R329" t="str">
            <v>YES</v>
          </cell>
          <cell r="S329"/>
          <cell r="T329"/>
          <cell r="U329"/>
          <cell r="V329"/>
          <cell r="W329"/>
          <cell r="X329"/>
          <cell r="Y329" t="str">
            <v>Live</v>
          </cell>
          <cell r="Z329" t="str">
            <v>Comfone</v>
          </cell>
        </row>
        <row r="330">
          <cell r="F330" t="str">
            <v>MNEMT</v>
          </cell>
          <cell r="G330"/>
          <cell r="H330" t="str">
            <v>297</v>
          </cell>
          <cell r="I330" t="str">
            <v>03</v>
          </cell>
          <cell r="J330" t="str">
            <v>x</v>
          </cell>
          <cell r="K330" t="str">
            <v>YES</v>
          </cell>
          <cell r="L330" t="str">
            <v>YES</v>
          </cell>
          <cell r="M330" t="str">
            <v>YES</v>
          </cell>
          <cell r="N330" t="str">
            <v>YES</v>
          </cell>
          <cell r="O330" t="str">
            <v>YES</v>
          </cell>
          <cell r="P330" t="str">
            <v>YES</v>
          </cell>
          <cell r="Q330" t="str">
            <v>YES</v>
          </cell>
          <cell r="R330" t="str">
            <v>YES</v>
          </cell>
          <cell r="S330" t="str">
            <v>YES</v>
          </cell>
          <cell r="T330" t="str">
            <v>YES</v>
          </cell>
          <cell r="U330"/>
          <cell r="V330"/>
          <cell r="W330"/>
          <cell r="X330"/>
          <cell r="Y330" t="str">
            <v>Live</v>
          </cell>
          <cell r="Z330" t="str">
            <v>Bilateral</v>
          </cell>
        </row>
        <row r="331">
          <cell r="F331" t="str">
            <v>MUSMT</v>
          </cell>
          <cell r="G331" t="str">
            <v>MUSF1</v>
          </cell>
          <cell r="H331" t="str">
            <v>617</v>
          </cell>
          <cell r="I331" t="str">
            <v>03</v>
          </cell>
          <cell r="J331" t="str">
            <v>x</v>
          </cell>
          <cell r="K331" t="str">
            <v>YES</v>
          </cell>
          <cell r="L331" t="str">
            <v>YES</v>
          </cell>
          <cell r="M331" t="str">
            <v>YES</v>
          </cell>
          <cell r="N331" t="str">
            <v>YES</v>
          </cell>
          <cell r="O331" t="str">
            <v>YES</v>
          </cell>
          <cell r="P331" t="str">
            <v>YES</v>
          </cell>
          <cell r="Q331" t="str">
            <v>YES</v>
          </cell>
          <cell r="R331" t="str">
            <v>YES</v>
          </cell>
          <cell r="S331"/>
          <cell r="T331"/>
          <cell r="U331"/>
          <cell r="V331"/>
          <cell r="W331"/>
          <cell r="X331"/>
          <cell r="Y331" t="str">
            <v>Live</v>
          </cell>
          <cell r="Z331" t="str">
            <v>Orange Hub</v>
          </cell>
        </row>
        <row r="332">
          <cell r="F332" t="str">
            <v>AFGAR</v>
          </cell>
          <cell r="G332" t="str">
            <v>AFGWL</v>
          </cell>
          <cell r="H332" t="str">
            <v>412</v>
          </cell>
          <cell r="I332" t="str">
            <v>40</v>
          </cell>
          <cell r="J332" t="str">
            <v>x</v>
          </cell>
          <cell r="K332" t="str">
            <v>YES</v>
          </cell>
          <cell r="L332" t="str">
            <v>YES</v>
          </cell>
          <cell r="M332" t="str">
            <v>YES</v>
          </cell>
          <cell r="N332"/>
          <cell r="O332" t="str">
            <v>YES</v>
          </cell>
          <cell r="P332" t="str">
            <v>YES</v>
          </cell>
          <cell r="Q332" t="str">
            <v>YES</v>
          </cell>
          <cell r="R332" t="str">
            <v>YES</v>
          </cell>
          <cell r="S332" t="str">
            <v>N.A</v>
          </cell>
          <cell r="T332" t="str">
            <v>N.A</v>
          </cell>
          <cell r="U332"/>
          <cell r="V332"/>
          <cell r="W332"/>
          <cell r="X332"/>
          <cell r="Y332" t="str">
            <v>Terminated</v>
          </cell>
          <cell r="Z332" t="str">
            <v>Orange Hub</v>
          </cell>
        </row>
        <row r="333">
          <cell r="F333" t="str">
            <v>BENSP</v>
          </cell>
          <cell r="G333" t="str">
            <v>BENWL</v>
          </cell>
          <cell r="H333" t="str">
            <v>616</v>
          </cell>
          <cell r="I333" t="str">
            <v>03</v>
          </cell>
          <cell r="J333" t="str">
            <v>x</v>
          </cell>
          <cell r="K333" t="str">
            <v>YES</v>
          </cell>
          <cell r="L333" t="str">
            <v>YES</v>
          </cell>
          <cell r="M333" t="str">
            <v>Planned</v>
          </cell>
          <cell r="N333"/>
          <cell r="O333" t="str">
            <v>YES</v>
          </cell>
          <cell r="P333" t="str">
            <v>YES</v>
          </cell>
          <cell r="Q333" t="str">
            <v>YES</v>
          </cell>
          <cell r="R333" t="str">
            <v>YES</v>
          </cell>
          <cell r="S333" t="str">
            <v>N.A</v>
          </cell>
          <cell r="T333" t="str">
            <v>N.A</v>
          </cell>
          <cell r="U333"/>
          <cell r="V333"/>
          <cell r="W333"/>
          <cell r="X333"/>
          <cell r="Y333" t="str">
            <v>Live</v>
          </cell>
          <cell r="Z333" t="str">
            <v>Orange Hub</v>
          </cell>
        </row>
        <row r="334">
          <cell r="F334" t="str">
            <v>CMRMT</v>
          </cell>
          <cell r="G334" t="str">
            <v>CMRWL</v>
          </cell>
          <cell r="H334" t="str">
            <v>624</v>
          </cell>
          <cell r="I334" t="str">
            <v>01</v>
          </cell>
          <cell r="J334" t="str">
            <v>x</v>
          </cell>
          <cell r="K334" t="str">
            <v>YES</v>
          </cell>
          <cell r="L334" t="str">
            <v>YES</v>
          </cell>
          <cell r="M334" t="str">
            <v>YES</v>
          </cell>
          <cell r="N334" t="str">
            <v>YES</v>
          </cell>
          <cell r="O334" t="str">
            <v>YES</v>
          </cell>
          <cell r="P334" t="str">
            <v>YES</v>
          </cell>
          <cell r="Q334" t="str">
            <v>YES</v>
          </cell>
          <cell r="R334" t="str">
            <v>YES</v>
          </cell>
          <cell r="S334"/>
          <cell r="T334"/>
          <cell r="U334"/>
          <cell r="V334"/>
          <cell r="W334"/>
          <cell r="X334"/>
          <cell r="Y334" t="str">
            <v>Live</v>
          </cell>
          <cell r="Z334" t="str">
            <v>Orange Hub</v>
          </cell>
        </row>
        <row r="335">
          <cell r="F335" t="str">
            <v>SWZMN</v>
          </cell>
          <cell r="G335" t="str">
            <v>SWZIC</v>
          </cell>
          <cell r="H335" t="str">
            <v>653</v>
          </cell>
          <cell r="I335" t="str">
            <v>10</v>
          </cell>
          <cell r="J335" t="str">
            <v>x</v>
          </cell>
          <cell r="K335" t="str">
            <v>YES</v>
          </cell>
          <cell r="L335"/>
          <cell r="M335" t="str">
            <v>YES</v>
          </cell>
          <cell r="N335"/>
          <cell r="O335" t="str">
            <v>YES</v>
          </cell>
          <cell r="P335"/>
          <cell r="Q335" t="str">
            <v>YES</v>
          </cell>
          <cell r="R335"/>
          <cell r="S335" t="str">
            <v>YES</v>
          </cell>
          <cell r="T335"/>
          <cell r="U335"/>
          <cell r="V335"/>
          <cell r="W335"/>
          <cell r="X335"/>
          <cell r="Y335" t="str">
            <v>Live</v>
          </cell>
          <cell r="Z335" t="str">
            <v>Orange Hub</v>
          </cell>
        </row>
        <row r="336">
          <cell r="F336" t="str">
            <v>GHASC</v>
          </cell>
          <cell r="G336" t="str">
            <v>GHAWL</v>
          </cell>
          <cell r="H336">
            <v>620</v>
          </cell>
          <cell r="I336" t="str">
            <v>01</v>
          </cell>
          <cell r="J336" t="str">
            <v>x</v>
          </cell>
          <cell r="K336" t="str">
            <v>YES</v>
          </cell>
          <cell r="L336" t="str">
            <v>YES</v>
          </cell>
          <cell r="M336" t="str">
            <v>YES</v>
          </cell>
          <cell r="N336" t="str">
            <v>YES</v>
          </cell>
          <cell r="O336" t="str">
            <v>YES</v>
          </cell>
          <cell r="P336" t="str">
            <v>YES</v>
          </cell>
          <cell r="Q336" t="str">
            <v>YES</v>
          </cell>
          <cell r="R336" t="str">
            <v>YES</v>
          </cell>
          <cell r="S336" t="str">
            <v>YES</v>
          </cell>
          <cell r="T336" t="str">
            <v>YES</v>
          </cell>
          <cell r="U336"/>
          <cell r="V336"/>
          <cell r="W336"/>
          <cell r="X336"/>
          <cell r="Y336" t="str">
            <v>Live</v>
          </cell>
          <cell r="Z336" t="str">
            <v>Orange Hub</v>
          </cell>
        </row>
        <row r="337">
          <cell r="F337" t="str">
            <v>GINAG</v>
          </cell>
          <cell r="G337" t="str">
            <v>GINWL</v>
          </cell>
          <cell r="H337" t="str">
            <v>611</v>
          </cell>
          <cell r="I337" t="str">
            <v>04</v>
          </cell>
          <cell r="J337" t="str">
            <v>x</v>
          </cell>
          <cell r="K337" t="str">
            <v>YES</v>
          </cell>
          <cell r="L337" t="str">
            <v>Planned</v>
          </cell>
          <cell r="M337" t="str">
            <v>YES</v>
          </cell>
          <cell r="N337"/>
          <cell r="O337" t="str">
            <v>YES</v>
          </cell>
          <cell r="P337" t="str">
            <v>Planned</v>
          </cell>
          <cell r="Q337" t="str">
            <v>YES</v>
          </cell>
          <cell r="R337" t="str">
            <v>Planned</v>
          </cell>
          <cell r="S337" t="str">
            <v>N.A</v>
          </cell>
          <cell r="T337" t="str">
            <v>N.A</v>
          </cell>
          <cell r="U337"/>
          <cell r="V337"/>
          <cell r="W337"/>
          <cell r="X337"/>
          <cell r="Y337" t="str">
            <v>Live</v>
          </cell>
          <cell r="Z337" t="str">
            <v>Orange Hub</v>
          </cell>
        </row>
        <row r="338">
          <cell r="F338" t="str">
            <v>GNBSB</v>
          </cell>
          <cell r="G338" t="str">
            <v>GNBWL</v>
          </cell>
          <cell r="H338" t="str">
            <v>632</v>
          </cell>
          <cell r="I338" t="str">
            <v>02</v>
          </cell>
          <cell r="J338" t="str">
            <v>x</v>
          </cell>
          <cell r="K338" t="str">
            <v>YES</v>
          </cell>
          <cell r="L338"/>
          <cell r="M338" t="str">
            <v>YES</v>
          </cell>
          <cell r="N338"/>
          <cell r="O338" t="str">
            <v>YES</v>
          </cell>
          <cell r="P338"/>
          <cell r="Q338" t="str">
            <v>YES</v>
          </cell>
          <cell r="R338"/>
          <cell r="S338" t="str">
            <v>YES</v>
          </cell>
          <cell r="T338"/>
          <cell r="U338"/>
          <cell r="V338"/>
          <cell r="W338"/>
          <cell r="X338"/>
          <cell r="Y338" t="str">
            <v>Live</v>
          </cell>
          <cell r="Z338" t="str">
            <v>Orange Hub</v>
          </cell>
        </row>
        <row r="339">
          <cell r="F339" t="str">
            <v>IRNMI</v>
          </cell>
          <cell r="G339"/>
          <cell r="H339" t="str">
            <v>432</v>
          </cell>
          <cell r="I339" t="str">
            <v>35</v>
          </cell>
          <cell r="J339" t="str">
            <v>x</v>
          </cell>
          <cell r="K339" t="str">
            <v>YES</v>
          </cell>
          <cell r="L339" t="str">
            <v>YES</v>
          </cell>
          <cell r="M339" t="str">
            <v>YES</v>
          </cell>
          <cell r="N339" t="str">
            <v>Planned</v>
          </cell>
          <cell r="O339" t="str">
            <v>YES</v>
          </cell>
          <cell r="P339" t="str">
            <v>YES</v>
          </cell>
          <cell r="Q339" t="str">
            <v>YES</v>
          </cell>
          <cell r="R339" t="str">
            <v>YES</v>
          </cell>
          <cell r="S339" t="str">
            <v>YES</v>
          </cell>
          <cell r="T339" t="str">
            <v>YES</v>
          </cell>
          <cell r="U339"/>
          <cell r="V339"/>
          <cell r="W339"/>
          <cell r="X339"/>
          <cell r="Y339" t="str">
            <v>Live</v>
          </cell>
          <cell r="Z339" t="str">
            <v>Bilateral</v>
          </cell>
        </row>
        <row r="340">
          <cell r="F340" t="str">
            <v>LBRLC</v>
          </cell>
          <cell r="G340" t="str">
            <v>LBRWL</v>
          </cell>
          <cell r="H340" t="str">
            <v>618</v>
          </cell>
          <cell r="I340" t="str">
            <v>01</v>
          </cell>
          <cell r="J340" t="str">
            <v>x</v>
          </cell>
          <cell r="K340" t="str">
            <v>YES</v>
          </cell>
          <cell r="L340" t="str">
            <v>YES</v>
          </cell>
          <cell r="M340" t="str">
            <v>YES</v>
          </cell>
          <cell r="N340"/>
          <cell r="O340" t="str">
            <v>YES</v>
          </cell>
          <cell r="P340" t="str">
            <v>YES</v>
          </cell>
          <cell r="Q340" t="str">
            <v>YES</v>
          </cell>
          <cell r="R340" t="str">
            <v>YES</v>
          </cell>
          <cell r="S340" t="str">
            <v>YES</v>
          </cell>
          <cell r="T340"/>
          <cell r="U340"/>
          <cell r="V340"/>
          <cell r="W340"/>
          <cell r="X340"/>
          <cell r="Y340" t="str">
            <v>Live</v>
          </cell>
          <cell r="Z340" t="str">
            <v>Orange Hub</v>
          </cell>
        </row>
        <row r="341">
          <cell r="F341" t="str">
            <v>NGAMN</v>
          </cell>
          <cell r="G341" t="str">
            <v>NGAWL</v>
          </cell>
          <cell r="H341" t="str">
            <v>621</v>
          </cell>
          <cell r="I341" t="str">
            <v>30</v>
          </cell>
          <cell r="J341" t="str">
            <v>x</v>
          </cell>
          <cell r="K341" t="str">
            <v>YES</v>
          </cell>
          <cell r="L341"/>
          <cell r="M341" t="str">
            <v>YES</v>
          </cell>
          <cell r="N341"/>
          <cell r="O341" t="str">
            <v>YES</v>
          </cell>
          <cell r="P341"/>
          <cell r="Q341" t="str">
            <v>YES</v>
          </cell>
          <cell r="R341"/>
          <cell r="S341" t="str">
            <v>YES</v>
          </cell>
          <cell r="T341"/>
          <cell r="U341"/>
          <cell r="V341"/>
          <cell r="W341"/>
          <cell r="X341"/>
          <cell r="Y341" t="str">
            <v>Live</v>
          </cell>
          <cell r="Z341" t="str">
            <v>Orange Hub</v>
          </cell>
        </row>
        <row r="342">
          <cell r="F342" t="str">
            <v>RWAMN</v>
          </cell>
          <cell r="G342" t="str">
            <v>RWAWL</v>
          </cell>
          <cell r="H342" t="str">
            <v>635</v>
          </cell>
          <cell r="I342" t="str">
            <v>10</v>
          </cell>
          <cell r="J342" t="str">
            <v>x</v>
          </cell>
          <cell r="K342" t="str">
            <v>YES</v>
          </cell>
          <cell r="L342" t="str">
            <v>YES</v>
          </cell>
          <cell r="M342" t="str">
            <v>YES</v>
          </cell>
          <cell r="N342"/>
          <cell r="O342" t="str">
            <v>YES</v>
          </cell>
          <cell r="P342" t="str">
            <v>YES</v>
          </cell>
          <cell r="Q342" t="str">
            <v>YES</v>
          </cell>
          <cell r="R342" t="str">
            <v>YES</v>
          </cell>
          <cell r="S342" t="str">
            <v>YES</v>
          </cell>
          <cell r="T342"/>
          <cell r="U342"/>
          <cell r="V342"/>
          <cell r="W342"/>
          <cell r="X342"/>
          <cell r="Y342" t="str">
            <v>Live</v>
          </cell>
          <cell r="Z342" t="str">
            <v>Orange Hub</v>
          </cell>
        </row>
        <row r="343">
          <cell r="F343" t="str">
            <v>ZAFMN</v>
          </cell>
          <cell r="G343" t="str">
            <v>ZAFIC</v>
          </cell>
          <cell r="H343" t="str">
            <v>655</v>
          </cell>
          <cell r="I343" t="str">
            <v>10</v>
          </cell>
          <cell r="J343" t="str">
            <v>x</v>
          </cell>
          <cell r="K343" t="str">
            <v>YES</v>
          </cell>
          <cell r="L343" t="str">
            <v>YES</v>
          </cell>
          <cell r="M343" t="str">
            <v>YES</v>
          </cell>
          <cell r="N343"/>
          <cell r="O343" t="str">
            <v>YES</v>
          </cell>
          <cell r="P343" t="str">
            <v>YES</v>
          </cell>
          <cell r="Q343" t="str">
            <v>YES</v>
          </cell>
          <cell r="R343" t="str">
            <v>YES</v>
          </cell>
          <cell r="S343" t="str">
            <v>N.A</v>
          </cell>
          <cell r="T343" t="str">
            <v>N.A</v>
          </cell>
          <cell r="U343"/>
          <cell r="V343"/>
          <cell r="W343"/>
          <cell r="X343"/>
          <cell r="Y343" t="str">
            <v>Live</v>
          </cell>
          <cell r="Z343" t="str">
            <v>Orange Hub</v>
          </cell>
        </row>
        <row r="344">
          <cell r="F344" t="str">
            <v>SSDMN</v>
          </cell>
          <cell r="G344" t="str">
            <v>SSDWL</v>
          </cell>
          <cell r="H344" t="str">
            <v>659</v>
          </cell>
          <cell r="I344" t="str">
            <v>02</v>
          </cell>
          <cell r="J344" t="str">
            <v>x</v>
          </cell>
          <cell r="K344" t="str">
            <v>YES</v>
          </cell>
          <cell r="L344"/>
          <cell r="M344" t="str">
            <v>YES</v>
          </cell>
          <cell r="N344"/>
          <cell r="O344" t="str">
            <v>YES</v>
          </cell>
          <cell r="P344"/>
          <cell r="Q344" t="str">
            <v>YES</v>
          </cell>
          <cell r="R344"/>
          <cell r="S344" t="str">
            <v>N.A</v>
          </cell>
          <cell r="T344"/>
          <cell r="U344"/>
          <cell r="V344"/>
          <cell r="W344"/>
          <cell r="X344"/>
          <cell r="Y344" t="str">
            <v>Live</v>
          </cell>
          <cell r="Z344" t="str">
            <v>Orange Hub</v>
          </cell>
        </row>
        <row r="345">
          <cell r="F345" t="str">
            <v>SDNBT</v>
          </cell>
          <cell r="G345" t="str">
            <v>SDNWL</v>
          </cell>
          <cell r="H345" t="str">
            <v>634</v>
          </cell>
          <cell r="I345" t="str">
            <v>02</v>
          </cell>
          <cell r="J345" t="str">
            <v>x</v>
          </cell>
          <cell r="K345" t="str">
            <v>YES</v>
          </cell>
          <cell r="L345"/>
          <cell r="M345" t="str">
            <v>YES</v>
          </cell>
          <cell r="N345"/>
          <cell r="O345" t="str">
            <v>YES</v>
          </cell>
          <cell r="P345"/>
          <cell r="Q345" t="str">
            <v>YES</v>
          </cell>
          <cell r="R345"/>
          <cell r="S345" t="str">
            <v>YES</v>
          </cell>
          <cell r="T345"/>
          <cell r="U345"/>
          <cell r="V345"/>
          <cell r="W345"/>
          <cell r="X345"/>
          <cell r="Y345" t="str">
            <v>Live</v>
          </cell>
          <cell r="Z345" t="str">
            <v>Orange Hub</v>
          </cell>
        </row>
        <row r="346">
          <cell r="F346" t="str">
            <v>SYRSP</v>
          </cell>
          <cell r="G346"/>
          <cell r="H346" t="str">
            <v>417</v>
          </cell>
          <cell r="I346" t="str">
            <v>02</v>
          </cell>
          <cell r="J346"/>
          <cell r="K346" t="str">
            <v>YES</v>
          </cell>
          <cell r="L346" t="str">
            <v>YES</v>
          </cell>
          <cell r="M346" t="str">
            <v>YES</v>
          </cell>
          <cell r="N346" t="str">
            <v>YES</v>
          </cell>
          <cell r="O346" t="str">
            <v>YES</v>
          </cell>
          <cell r="P346" t="str">
            <v>N.A</v>
          </cell>
          <cell r="Q346" t="str">
            <v>YES</v>
          </cell>
          <cell r="R346"/>
          <cell r="S346" t="str">
            <v>YES</v>
          </cell>
          <cell r="T346"/>
          <cell r="U346"/>
          <cell r="V346"/>
          <cell r="W346"/>
          <cell r="X346"/>
          <cell r="Y346" t="str">
            <v>Live</v>
          </cell>
          <cell r="Z346" t="str">
            <v>Bilateral</v>
          </cell>
        </row>
        <row r="347">
          <cell r="F347" t="str">
            <v>ZMB02</v>
          </cell>
          <cell r="G347" t="str">
            <v>ZMBWL</v>
          </cell>
          <cell r="H347" t="str">
            <v>645</v>
          </cell>
          <cell r="I347" t="str">
            <v>02</v>
          </cell>
          <cell r="J347" t="str">
            <v>x</v>
          </cell>
          <cell r="K347" t="str">
            <v>YES</v>
          </cell>
          <cell r="L347" t="str">
            <v>YES</v>
          </cell>
          <cell r="M347" t="str">
            <v>YES</v>
          </cell>
          <cell r="N347"/>
          <cell r="O347" t="str">
            <v>YES</v>
          </cell>
          <cell r="P347" t="str">
            <v>YES</v>
          </cell>
          <cell r="Q347" t="str">
            <v>YES</v>
          </cell>
          <cell r="R347" t="str">
            <v>YES</v>
          </cell>
          <cell r="S347" t="str">
            <v>N.A</v>
          </cell>
          <cell r="T347"/>
          <cell r="U347"/>
          <cell r="V347"/>
          <cell r="W347"/>
          <cell r="X347"/>
          <cell r="Y347" t="str">
            <v>Live</v>
          </cell>
          <cell r="Z347" t="str">
            <v>Orange Hub</v>
          </cell>
        </row>
        <row r="348">
          <cell r="F348" t="str">
            <v>ARM05</v>
          </cell>
          <cell r="G348"/>
          <cell r="H348" t="str">
            <v>283</v>
          </cell>
          <cell r="I348" t="str">
            <v>05</v>
          </cell>
          <cell r="J348" t="str">
            <v>x</v>
          </cell>
          <cell r="K348" t="str">
            <v>YES</v>
          </cell>
          <cell r="L348" t="str">
            <v>YES</v>
          </cell>
          <cell r="M348"/>
          <cell r="N348"/>
          <cell r="O348" t="str">
            <v>Planned</v>
          </cell>
          <cell r="P348" t="str">
            <v>Planned</v>
          </cell>
          <cell r="Q348" t="str">
            <v>Planned</v>
          </cell>
          <cell r="R348" t="str">
            <v>Planned</v>
          </cell>
          <cell r="S348" t="str">
            <v>Planned</v>
          </cell>
          <cell r="T348" t="str">
            <v>Planned</v>
          </cell>
          <cell r="U348"/>
          <cell r="V348"/>
          <cell r="W348"/>
          <cell r="X348"/>
          <cell r="Y348" t="str">
            <v>Live</v>
          </cell>
          <cell r="Z348" t="str">
            <v>Bilateral</v>
          </cell>
        </row>
        <row r="349">
          <cell r="F349" t="str">
            <v>BLR02</v>
          </cell>
          <cell r="G349" t="str">
            <v>BLRK9</v>
          </cell>
          <cell r="H349" t="str">
            <v>257</v>
          </cell>
          <cell r="I349" t="str">
            <v>02</v>
          </cell>
          <cell r="J349" t="str">
            <v>x</v>
          </cell>
          <cell r="K349" t="str">
            <v>YES</v>
          </cell>
          <cell r="L349" t="str">
            <v>YES</v>
          </cell>
          <cell r="M349" t="str">
            <v>YES</v>
          </cell>
          <cell r="N349" t="str">
            <v>YES</v>
          </cell>
          <cell r="O349" t="str">
            <v>YES</v>
          </cell>
          <cell r="P349" t="str">
            <v>YES</v>
          </cell>
          <cell r="Q349" t="str">
            <v>YES</v>
          </cell>
          <cell r="R349" t="str">
            <v>YES</v>
          </cell>
          <cell r="S349" t="str">
            <v>YES</v>
          </cell>
          <cell r="T349" t="str">
            <v>YES</v>
          </cell>
          <cell r="U349"/>
          <cell r="V349"/>
          <cell r="W349"/>
          <cell r="X349"/>
          <cell r="Y349" t="str">
            <v>Live</v>
          </cell>
          <cell r="Z349" t="str">
            <v>Comfone</v>
          </cell>
        </row>
        <row r="350">
          <cell r="F350" t="str">
            <v>RUS01</v>
          </cell>
          <cell r="G350"/>
          <cell r="H350" t="str">
            <v>250</v>
          </cell>
          <cell r="I350" t="str">
            <v>01</v>
          </cell>
          <cell r="J350" t="str">
            <v>x</v>
          </cell>
          <cell r="K350" t="str">
            <v>YES</v>
          </cell>
          <cell r="L350" t="str">
            <v>YES</v>
          </cell>
          <cell r="M350" t="str">
            <v>YES</v>
          </cell>
          <cell r="N350" t="str">
            <v>YES</v>
          </cell>
          <cell r="O350" t="str">
            <v>YES</v>
          </cell>
          <cell r="P350" t="str">
            <v>YES</v>
          </cell>
          <cell r="Q350" t="str">
            <v>YES</v>
          </cell>
          <cell r="R350" t="str">
            <v>YES</v>
          </cell>
          <cell r="S350" t="str">
            <v>YES</v>
          </cell>
          <cell r="T350" t="str">
            <v>YES</v>
          </cell>
          <cell r="U350"/>
          <cell r="V350"/>
          <cell r="W350"/>
          <cell r="X350"/>
          <cell r="Y350" t="str">
            <v>Live</v>
          </cell>
          <cell r="Z350" t="str">
            <v>Bilateral</v>
          </cell>
        </row>
        <row r="351">
          <cell r="F351" t="str">
            <v>TKMBC</v>
          </cell>
          <cell r="G351"/>
          <cell r="H351">
            <v>438</v>
          </cell>
          <cell r="I351" t="str">
            <v>01</v>
          </cell>
          <cell r="J351" t="str">
            <v>x</v>
          </cell>
          <cell r="K351" t="str">
            <v>YES</v>
          </cell>
          <cell r="L351" t="str">
            <v>YES</v>
          </cell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 t="str">
            <v>Live</v>
          </cell>
          <cell r="Z351" t="str">
            <v>Bilateral</v>
          </cell>
        </row>
        <row r="352">
          <cell r="F352" t="str">
            <v>MTX01</v>
          </cell>
          <cell r="G352"/>
          <cell r="H352" t="str">
            <v>270</v>
          </cell>
          <cell r="I352" t="str">
            <v>02</v>
          </cell>
          <cell r="J352" t="str">
            <v>x</v>
          </cell>
          <cell r="K352" t="str">
            <v>YES</v>
          </cell>
          <cell r="L352" t="str">
            <v>N.A</v>
          </cell>
          <cell r="M352" t="str">
            <v>N.A</v>
          </cell>
          <cell r="N352" t="str">
            <v>N.A</v>
          </cell>
          <cell r="O352" t="str">
            <v>YES</v>
          </cell>
          <cell r="P352" t="str">
            <v>N.A</v>
          </cell>
          <cell r="Q352" t="str">
            <v>YES</v>
          </cell>
          <cell r="R352" t="str">
            <v>N.A</v>
          </cell>
          <cell r="S352" t="str">
            <v>YES</v>
          </cell>
          <cell r="T352" t="str">
            <v>N.A</v>
          </cell>
          <cell r="U352"/>
          <cell r="V352"/>
          <cell r="W352"/>
          <cell r="X352"/>
          <cell r="Y352" t="str">
            <v>Live</v>
          </cell>
          <cell r="Z352" t="str">
            <v>Bilateral</v>
          </cell>
        </row>
        <row r="353">
          <cell r="F353" t="str">
            <v>GNQHT</v>
          </cell>
          <cell r="G353"/>
          <cell r="H353" t="str">
            <v>627</v>
          </cell>
          <cell r="I353" t="str">
            <v>03</v>
          </cell>
          <cell r="J353" t="str">
            <v>x</v>
          </cell>
          <cell r="K353" t="str">
            <v>YES</v>
          </cell>
          <cell r="L353" t="str">
            <v>YES</v>
          </cell>
          <cell r="M353" t="str">
            <v>YES</v>
          </cell>
          <cell r="N353" t="str">
            <v>YES</v>
          </cell>
          <cell r="O353" t="str">
            <v>YES</v>
          </cell>
          <cell r="P353" t="str">
            <v>YES</v>
          </cell>
          <cell r="Q353" t="str">
            <v>YES</v>
          </cell>
          <cell r="R353" t="str">
            <v>YES</v>
          </cell>
          <cell r="S353" t="str">
            <v>N.A</v>
          </cell>
          <cell r="T353" t="str">
            <v>N.A</v>
          </cell>
          <cell r="U353"/>
          <cell r="V353"/>
          <cell r="W353"/>
          <cell r="X353"/>
          <cell r="Y353" t="str">
            <v>Live</v>
          </cell>
          <cell r="Z353" t="str">
            <v>Bilateral</v>
          </cell>
        </row>
        <row r="354">
          <cell r="F354" t="str">
            <v>OMNNT</v>
          </cell>
          <cell r="G354"/>
          <cell r="H354" t="str">
            <v>422</v>
          </cell>
          <cell r="I354" t="str">
            <v>03</v>
          </cell>
          <cell r="J354" t="str">
            <v>x</v>
          </cell>
          <cell r="K354" t="str">
            <v>YES</v>
          </cell>
          <cell r="L354" t="str">
            <v>YES</v>
          </cell>
          <cell r="M354" t="str">
            <v>YES</v>
          </cell>
          <cell r="N354" t="str">
            <v>YES</v>
          </cell>
          <cell r="O354" t="str">
            <v>YES</v>
          </cell>
          <cell r="P354" t="str">
            <v>YES</v>
          </cell>
          <cell r="Q354" t="str">
            <v>YES</v>
          </cell>
          <cell r="R354" t="str">
            <v>YES</v>
          </cell>
          <cell r="S354"/>
          <cell r="T354"/>
          <cell r="U354"/>
          <cell r="V354"/>
          <cell r="W354"/>
          <cell r="X354"/>
          <cell r="Y354" t="str">
            <v>Live</v>
          </cell>
          <cell r="Z354" t="str">
            <v>Bilateral</v>
          </cell>
        </row>
        <row r="355">
          <cell r="F355" t="str">
            <v>NPLM2</v>
          </cell>
          <cell r="G355"/>
          <cell r="H355" t="str">
            <v>429</v>
          </cell>
          <cell r="I355" t="str">
            <v>02</v>
          </cell>
          <cell r="J355" t="str">
            <v>x</v>
          </cell>
          <cell r="K355" t="str">
            <v>YES</v>
          </cell>
          <cell r="L355" t="str">
            <v>YES</v>
          </cell>
          <cell r="M355" t="str">
            <v>YES</v>
          </cell>
          <cell r="N355" t="str">
            <v>YES</v>
          </cell>
          <cell r="O355" t="str">
            <v>YES</v>
          </cell>
          <cell r="P355" t="str">
            <v>YES</v>
          </cell>
          <cell r="Q355" t="str">
            <v>YES</v>
          </cell>
          <cell r="R355" t="str">
            <v>YES</v>
          </cell>
          <cell r="S355" t="str">
            <v>YES</v>
          </cell>
          <cell r="T355" t="str">
            <v>YES</v>
          </cell>
          <cell r="U355"/>
          <cell r="V355"/>
          <cell r="W355"/>
          <cell r="X355"/>
          <cell r="Y355" t="str">
            <v>Live</v>
          </cell>
          <cell r="Z355" t="str">
            <v>Bilateral</v>
          </cell>
        </row>
        <row r="356">
          <cell r="F356" t="str">
            <v>HTIVT</v>
          </cell>
          <cell r="G356" t="str">
            <v>HTIK9</v>
          </cell>
          <cell r="H356" t="str">
            <v>372</v>
          </cell>
          <cell r="I356" t="str">
            <v>03</v>
          </cell>
          <cell r="J356" t="str">
            <v>x</v>
          </cell>
          <cell r="K356" t="str">
            <v>YES</v>
          </cell>
          <cell r="L356" t="str">
            <v>YES</v>
          </cell>
          <cell r="M356" t="str">
            <v>N.A</v>
          </cell>
          <cell r="N356" t="str">
            <v>YES</v>
          </cell>
          <cell r="O356" t="str">
            <v>YES</v>
          </cell>
          <cell r="P356" t="str">
            <v>YES</v>
          </cell>
          <cell r="Q356" t="str">
            <v>YES</v>
          </cell>
          <cell r="R356" t="str">
            <v>YES</v>
          </cell>
          <cell r="S356"/>
          <cell r="T356"/>
          <cell r="U356"/>
          <cell r="V356"/>
          <cell r="W356"/>
          <cell r="X356"/>
          <cell r="Y356" t="str">
            <v>Live</v>
          </cell>
          <cell r="Z356" t="str">
            <v>Comfone</v>
          </cell>
        </row>
        <row r="357">
          <cell r="F357" t="str">
            <v>NORNC</v>
          </cell>
          <cell r="G357"/>
          <cell r="H357" t="str">
            <v>242</v>
          </cell>
          <cell r="I357" t="str">
            <v>02</v>
          </cell>
          <cell r="J357" t="str">
            <v>x</v>
          </cell>
          <cell r="K357" t="str">
            <v>YES</v>
          </cell>
          <cell r="L357" t="str">
            <v>YES</v>
          </cell>
          <cell r="M357" t="str">
            <v>YES</v>
          </cell>
          <cell r="N357" t="str">
            <v>YES</v>
          </cell>
          <cell r="O357" t="str">
            <v>YES</v>
          </cell>
          <cell r="P357" t="str">
            <v>Arrêté</v>
          </cell>
          <cell r="Q357" t="str">
            <v>YES</v>
          </cell>
          <cell r="R357" t="str">
            <v>Arrêté</v>
          </cell>
          <cell r="S357" t="str">
            <v>YES</v>
          </cell>
          <cell r="T357" t="str">
            <v>YES</v>
          </cell>
          <cell r="U357"/>
          <cell r="V357"/>
          <cell r="W357"/>
          <cell r="X357"/>
          <cell r="Y357" t="str">
            <v>Live</v>
          </cell>
          <cell r="Z357" t="str">
            <v>Bilateral</v>
          </cell>
        </row>
        <row r="358">
          <cell r="F358" t="str">
            <v>ZWEN1</v>
          </cell>
          <cell r="G358"/>
          <cell r="H358" t="str">
            <v>648</v>
          </cell>
          <cell r="I358" t="str">
            <v>01</v>
          </cell>
          <cell r="J358" t="str">
            <v>x</v>
          </cell>
          <cell r="K358" t="str">
            <v>YES</v>
          </cell>
          <cell r="L358" t="str">
            <v>YES</v>
          </cell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 t="str">
            <v>Live</v>
          </cell>
          <cell r="Z358" t="str">
            <v>Bilateral</v>
          </cell>
        </row>
        <row r="359">
          <cell r="F359" t="str">
            <v>USANW</v>
          </cell>
          <cell r="G359" t="str">
            <v xml:space="preserve">USAK2 </v>
          </cell>
          <cell r="H359" t="str">
            <v>311</v>
          </cell>
          <cell r="I359" t="str">
            <v>530</v>
          </cell>
          <cell r="J359" t="str">
            <v>x</v>
          </cell>
          <cell r="K359" t="str">
            <v>YES</v>
          </cell>
          <cell r="L359" t="str">
            <v>YES</v>
          </cell>
          <cell r="M359" t="str">
            <v>N.A</v>
          </cell>
          <cell r="N359"/>
          <cell r="O359" t="str">
            <v>YES</v>
          </cell>
          <cell r="P359" t="str">
            <v>YES</v>
          </cell>
          <cell r="Q359" t="str">
            <v>YES</v>
          </cell>
          <cell r="R359" t="str">
            <v>YES</v>
          </cell>
          <cell r="S359" t="str">
            <v>N.A</v>
          </cell>
          <cell r="T359"/>
          <cell r="U359"/>
          <cell r="V359"/>
          <cell r="W359"/>
          <cell r="X359"/>
          <cell r="Y359" t="str">
            <v>Live</v>
          </cell>
          <cell r="Z359" t="str">
            <v>Comfone</v>
          </cell>
        </row>
        <row r="360">
          <cell r="F360" t="str">
            <v>USA1L</v>
          </cell>
          <cell r="G360" t="str">
            <v>USAK3</v>
          </cell>
          <cell r="H360" t="str">
            <v>310</v>
          </cell>
          <cell r="I360" t="str">
            <v>460</v>
          </cell>
          <cell r="J360" t="str">
            <v>x</v>
          </cell>
          <cell r="K360" t="str">
            <v>YES</v>
          </cell>
          <cell r="L360" t="str">
            <v>N.A</v>
          </cell>
          <cell r="M360" t="str">
            <v>N.A</v>
          </cell>
          <cell r="N360" t="str">
            <v>N.A</v>
          </cell>
          <cell r="O360" t="str">
            <v>YES</v>
          </cell>
          <cell r="P360" t="str">
            <v>N.A</v>
          </cell>
          <cell r="Q360" t="str">
            <v>YES</v>
          </cell>
          <cell r="R360" t="str">
            <v>N.A</v>
          </cell>
          <cell r="S360" t="str">
            <v>N.A</v>
          </cell>
          <cell r="T360" t="str">
            <v>N.A</v>
          </cell>
          <cell r="U360"/>
          <cell r="V360"/>
          <cell r="W360"/>
          <cell r="X360"/>
          <cell r="Y360" t="str">
            <v>Live</v>
          </cell>
          <cell r="Z360" t="str">
            <v>Comfone</v>
          </cell>
        </row>
        <row r="361">
          <cell r="F361" t="str">
            <v>PRTOP</v>
          </cell>
          <cell r="G361" t="str">
            <v>PRTFT</v>
          </cell>
          <cell r="H361" t="str">
            <v>268</v>
          </cell>
          <cell r="I361" t="str">
            <v>03</v>
          </cell>
          <cell r="J361" t="str">
            <v>x</v>
          </cell>
          <cell r="K361" t="str">
            <v>YES</v>
          </cell>
          <cell r="L361" t="str">
            <v>YES</v>
          </cell>
          <cell r="M361" t="str">
            <v>YES</v>
          </cell>
          <cell r="N361" t="str">
            <v>YES</v>
          </cell>
          <cell r="O361" t="str">
            <v>YES</v>
          </cell>
          <cell r="P361" t="str">
            <v>YES</v>
          </cell>
          <cell r="Q361" t="str">
            <v>YES</v>
          </cell>
          <cell r="R361" t="str">
            <v>YES</v>
          </cell>
          <cell r="S361" t="str">
            <v>YES</v>
          </cell>
          <cell r="T361" t="str">
            <v>YES</v>
          </cell>
          <cell r="U361"/>
          <cell r="V361"/>
          <cell r="W361"/>
          <cell r="X361"/>
          <cell r="Y361" t="str">
            <v>Live</v>
          </cell>
          <cell r="Z361" t="str">
            <v>Orange Hub</v>
          </cell>
        </row>
        <row r="362">
          <cell r="F362" t="str">
            <v>ISLNO</v>
          </cell>
          <cell r="G362" t="str">
            <v>ISLFT</v>
          </cell>
          <cell r="H362" t="str">
            <v>274</v>
          </cell>
          <cell r="I362" t="str">
            <v>11</v>
          </cell>
          <cell r="J362" t="str">
            <v>x</v>
          </cell>
          <cell r="K362" t="str">
            <v>YES</v>
          </cell>
          <cell r="L362" t="str">
            <v>YES</v>
          </cell>
          <cell r="M362" t="str">
            <v>YES</v>
          </cell>
          <cell r="N362" t="str">
            <v>YES</v>
          </cell>
          <cell r="O362" t="str">
            <v>YES</v>
          </cell>
          <cell r="P362" t="str">
            <v>YES</v>
          </cell>
          <cell r="Q362" t="str">
            <v>YES</v>
          </cell>
          <cell r="R362" t="str">
            <v>YES</v>
          </cell>
          <cell r="S362" t="str">
            <v>YES</v>
          </cell>
          <cell r="T362"/>
          <cell r="U362"/>
          <cell r="V362"/>
          <cell r="W362"/>
          <cell r="X362"/>
          <cell r="Y362" t="str">
            <v>Live</v>
          </cell>
          <cell r="Z362" t="str">
            <v>Orange Hub</v>
          </cell>
        </row>
        <row r="363">
          <cell r="F363" t="str">
            <v>JPNDO</v>
          </cell>
          <cell r="G363"/>
          <cell r="H363" t="str">
            <v>440</v>
          </cell>
          <cell r="I363" t="str">
            <v>10</v>
          </cell>
          <cell r="J363" t="str">
            <v>x</v>
          </cell>
          <cell r="K363" t="str">
            <v>YES</v>
          </cell>
          <cell r="L363" t="str">
            <v>YES</v>
          </cell>
          <cell r="M363" t="str">
            <v>N.A</v>
          </cell>
          <cell r="N363" t="str">
            <v>YES</v>
          </cell>
          <cell r="O363" t="str">
            <v>YES</v>
          </cell>
          <cell r="P363" t="str">
            <v>YES</v>
          </cell>
          <cell r="Q363" t="str">
            <v>YES</v>
          </cell>
          <cell r="R363" t="str">
            <v>YES</v>
          </cell>
          <cell r="S363" t="str">
            <v>YES</v>
          </cell>
          <cell r="T363" t="str">
            <v>YES</v>
          </cell>
          <cell r="U363"/>
          <cell r="V363"/>
          <cell r="W363"/>
          <cell r="X363"/>
          <cell r="Y363" t="str">
            <v>Live</v>
          </cell>
          <cell r="Z363" t="str">
            <v>Bilateral</v>
          </cell>
        </row>
        <row r="364">
          <cell r="F364" t="str">
            <v>PRYNP</v>
          </cell>
          <cell r="G364" t="str">
            <v>PRYK9</v>
          </cell>
          <cell r="H364" t="str">
            <v>744</v>
          </cell>
          <cell r="I364" t="str">
            <v>05</v>
          </cell>
          <cell r="J364" t="str">
            <v>x</v>
          </cell>
          <cell r="K364" t="str">
            <v>YES</v>
          </cell>
          <cell r="L364" t="str">
            <v>YES</v>
          </cell>
          <cell r="M364" t="str">
            <v>YES</v>
          </cell>
          <cell r="N364" t="str">
            <v>YES</v>
          </cell>
          <cell r="O364" t="str">
            <v>YES</v>
          </cell>
          <cell r="P364" t="str">
            <v>YES</v>
          </cell>
          <cell r="Q364" t="str">
            <v>YES</v>
          </cell>
          <cell r="R364" t="str">
            <v>YES</v>
          </cell>
          <cell r="S364" t="str">
            <v>YES</v>
          </cell>
          <cell r="T364" t="str">
            <v>YES</v>
          </cell>
          <cell r="U364"/>
          <cell r="V364"/>
          <cell r="W364"/>
          <cell r="X364"/>
          <cell r="Y364" t="str">
            <v>Live</v>
          </cell>
          <cell r="Z364" t="str">
            <v>Comfone</v>
          </cell>
        </row>
        <row r="365">
          <cell r="F365" t="str">
            <v>SVKO2</v>
          </cell>
          <cell r="G365"/>
          <cell r="H365" t="str">
            <v>231</v>
          </cell>
          <cell r="I365" t="str">
            <v>06</v>
          </cell>
          <cell r="J365"/>
          <cell r="K365" t="str">
            <v>YES</v>
          </cell>
          <cell r="L365" t="str">
            <v>YES</v>
          </cell>
          <cell r="M365"/>
          <cell r="N365"/>
          <cell r="O365" t="str">
            <v>YES</v>
          </cell>
          <cell r="P365" t="str">
            <v>YES</v>
          </cell>
          <cell r="Q365" t="str">
            <v>YES</v>
          </cell>
          <cell r="R365" t="str">
            <v>YES</v>
          </cell>
          <cell r="S365"/>
          <cell r="T365"/>
          <cell r="U365"/>
          <cell r="V365"/>
          <cell r="W365"/>
          <cell r="X365"/>
          <cell r="Y365" t="str">
            <v>Live</v>
          </cell>
          <cell r="Z365" t="str">
            <v>Bilateral</v>
          </cell>
        </row>
        <row r="366">
          <cell r="F366" t="str">
            <v>BRATM</v>
          </cell>
          <cell r="G366"/>
          <cell r="H366" t="str">
            <v>724</v>
          </cell>
          <cell r="I366" t="str">
            <v>31</v>
          </cell>
          <cell r="J366" t="str">
            <v>x</v>
          </cell>
          <cell r="K366" t="str">
            <v>YES</v>
          </cell>
          <cell r="L366" t="str">
            <v>YES</v>
          </cell>
          <cell r="M366"/>
          <cell r="N366" t="str">
            <v>YES</v>
          </cell>
          <cell r="O366" t="str">
            <v>YES</v>
          </cell>
          <cell r="P366" t="str">
            <v>YES</v>
          </cell>
          <cell r="Q366" t="str">
            <v>YES</v>
          </cell>
          <cell r="R366" t="str">
            <v>YES</v>
          </cell>
          <cell r="S366"/>
          <cell r="T366"/>
          <cell r="U366"/>
          <cell r="V366"/>
          <cell r="W366"/>
          <cell r="X366"/>
          <cell r="Y366" t="str">
            <v>Live</v>
          </cell>
          <cell r="Z366" t="str">
            <v>Bilateral</v>
          </cell>
        </row>
        <row r="367">
          <cell r="F367" t="str">
            <v>BRABT</v>
          </cell>
          <cell r="G367"/>
          <cell r="H367" t="str">
            <v>724</v>
          </cell>
          <cell r="I367" t="str">
            <v>16</v>
          </cell>
          <cell r="J367" t="str">
            <v>x</v>
          </cell>
          <cell r="K367"/>
          <cell r="L367" t="str">
            <v>YES</v>
          </cell>
          <cell r="M367"/>
          <cell r="N367" t="str">
            <v>YES</v>
          </cell>
          <cell r="O367"/>
          <cell r="P367" t="str">
            <v>YES</v>
          </cell>
          <cell r="Q367"/>
          <cell r="R367" t="str">
            <v>YES</v>
          </cell>
          <cell r="S367"/>
          <cell r="T367"/>
          <cell r="U367"/>
          <cell r="V367"/>
          <cell r="W367"/>
          <cell r="X367"/>
          <cell r="Y367" t="str">
            <v>Live</v>
          </cell>
          <cell r="Z367" t="str">
            <v>Bilateral</v>
          </cell>
        </row>
        <row r="368">
          <cell r="F368" t="str">
            <v>BFAON</v>
          </cell>
          <cell r="G368" t="str">
            <v>BFAK8</v>
          </cell>
          <cell r="H368" t="str">
            <v>613</v>
          </cell>
          <cell r="I368" t="str">
            <v>01</v>
          </cell>
          <cell r="J368" t="str">
            <v>x</v>
          </cell>
          <cell r="K368" t="str">
            <v>YES</v>
          </cell>
          <cell r="L368" t="str">
            <v>YES</v>
          </cell>
          <cell r="M368" t="str">
            <v>YES</v>
          </cell>
          <cell r="N368" t="str">
            <v>YES</v>
          </cell>
          <cell r="O368" t="str">
            <v>YES</v>
          </cell>
          <cell r="P368" t="str">
            <v>YES</v>
          </cell>
          <cell r="Q368" t="str">
            <v>YES</v>
          </cell>
          <cell r="R368" t="str">
            <v>YES</v>
          </cell>
          <cell r="S368"/>
          <cell r="T368"/>
          <cell r="U368"/>
          <cell r="V368"/>
          <cell r="W368"/>
          <cell r="X368"/>
          <cell r="Y368" t="str">
            <v>Live</v>
          </cell>
          <cell r="Z368" t="str">
            <v>Comfone</v>
          </cell>
        </row>
        <row r="369">
          <cell r="F369" t="str">
            <v>FRATK</v>
          </cell>
          <cell r="G369" t="str">
            <v>FRAK6</v>
          </cell>
          <cell r="H369" t="str">
            <v>547</v>
          </cell>
          <cell r="I369" t="str">
            <v>20</v>
          </cell>
          <cell r="J369" t="str">
            <v>x</v>
          </cell>
          <cell r="K369" t="str">
            <v>YES</v>
          </cell>
          <cell r="L369" t="str">
            <v>YES</v>
          </cell>
          <cell r="M369"/>
          <cell r="N369" t="str">
            <v>YES</v>
          </cell>
          <cell r="O369" t="str">
            <v>YES</v>
          </cell>
          <cell r="P369" t="str">
            <v>YES</v>
          </cell>
          <cell r="Q369" t="str">
            <v>YES</v>
          </cell>
          <cell r="R369" t="str">
            <v>YES</v>
          </cell>
          <cell r="S369"/>
          <cell r="T369"/>
          <cell r="U369"/>
          <cell r="V369"/>
          <cell r="W369"/>
          <cell r="X369"/>
          <cell r="Y369" t="str">
            <v>Live</v>
          </cell>
          <cell r="Z369" t="str">
            <v>Comfone</v>
          </cell>
        </row>
        <row r="370">
          <cell r="F370" t="str">
            <v>MNEPM</v>
          </cell>
          <cell r="G370" t="str">
            <v>MNEK7</v>
          </cell>
          <cell r="H370" t="str">
            <v>297</v>
          </cell>
          <cell r="I370" t="str">
            <v>01</v>
          </cell>
          <cell r="J370" t="str">
            <v>x</v>
          </cell>
          <cell r="K370" t="str">
            <v>YES</v>
          </cell>
          <cell r="L370" t="str">
            <v>YES</v>
          </cell>
          <cell r="M370" t="str">
            <v>YES</v>
          </cell>
          <cell r="N370" t="str">
            <v>YES</v>
          </cell>
          <cell r="O370" t="str">
            <v>YES</v>
          </cell>
          <cell r="P370" t="str">
            <v>YES</v>
          </cell>
          <cell r="Q370" t="str">
            <v>YES</v>
          </cell>
          <cell r="R370" t="str">
            <v>YES</v>
          </cell>
          <cell r="S370" t="str">
            <v>YES</v>
          </cell>
          <cell r="T370" t="str">
            <v>YES</v>
          </cell>
          <cell r="U370"/>
          <cell r="V370"/>
          <cell r="W370"/>
          <cell r="X370"/>
          <cell r="Y370" t="str">
            <v>Live</v>
          </cell>
          <cell r="Z370" t="str">
            <v>Comfone</v>
          </cell>
        </row>
        <row r="371">
          <cell r="F371" t="str">
            <v>MMROM</v>
          </cell>
          <cell r="G371" t="str">
            <v>MMRK9</v>
          </cell>
          <cell r="H371" t="str">
            <v>414</v>
          </cell>
          <cell r="I371" t="str">
            <v>05</v>
          </cell>
          <cell r="J371" t="str">
            <v>x</v>
          </cell>
          <cell r="K371"/>
          <cell r="L371" t="str">
            <v>YES</v>
          </cell>
          <cell r="M371"/>
          <cell r="N371" t="str">
            <v>YES</v>
          </cell>
          <cell r="O371"/>
          <cell r="P371" t="str">
            <v>YES</v>
          </cell>
          <cell r="Q371"/>
          <cell r="R371" t="str">
            <v>YES</v>
          </cell>
          <cell r="S371" t="str">
            <v>N.A</v>
          </cell>
          <cell r="T371" t="str">
            <v>N.A</v>
          </cell>
          <cell r="U371"/>
          <cell r="V371"/>
          <cell r="W371"/>
          <cell r="X371"/>
          <cell r="Y371" t="str">
            <v>Live</v>
          </cell>
          <cell r="Z371" t="str">
            <v>Comfone</v>
          </cell>
        </row>
        <row r="372">
          <cell r="F372" t="str">
            <v>QATQT</v>
          </cell>
          <cell r="G372"/>
          <cell r="H372" t="str">
            <v>427</v>
          </cell>
          <cell r="I372" t="str">
            <v>01</v>
          </cell>
          <cell r="J372" t="str">
            <v>x</v>
          </cell>
          <cell r="K372" t="str">
            <v>YES</v>
          </cell>
          <cell r="L372" t="str">
            <v>YES</v>
          </cell>
          <cell r="M372" t="str">
            <v>YES</v>
          </cell>
          <cell r="N372" t="str">
            <v>YES</v>
          </cell>
          <cell r="O372" t="str">
            <v>YES</v>
          </cell>
          <cell r="P372" t="str">
            <v>YES</v>
          </cell>
          <cell r="Q372" t="str">
            <v>YES</v>
          </cell>
          <cell r="R372" t="str">
            <v>YES</v>
          </cell>
          <cell r="S372" t="str">
            <v>YES</v>
          </cell>
          <cell r="T372" t="str">
            <v>YES</v>
          </cell>
          <cell r="U372"/>
          <cell r="V372"/>
          <cell r="W372"/>
          <cell r="X372"/>
          <cell r="Y372" t="str">
            <v>Live</v>
          </cell>
          <cell r="Z372" t="str">
            <v>Bilateral</v>
          </cell>
        </row>
        <row r="373">
          <cell r="F373" t="str">
            <v>NCLPT</v>
          </cell>
          <cell r="G373" t="str">
            <v>NCLFT</v>
          </cell>
          <cell r="H373" t="str">
            <v>546</v>
          </cell>
          <cell r="I373" t="str">
            <v>01</v>
          </cell>
          <cell r="J373" t="str">
            <v>x</v>
          </cell>
          <cell r="K373" t="str">
            <v>YES</v>
          </cell>
          <cell r="L373" t="str">
            <v>YES</v>
          </cell>
          <cell r="M373"/>
          <cell r="N373" t="str">
            <v>YES</v>
          </cell>
          <cell r="O373" t="str">
            <v>YES</v>
          </cell>
          <cell r="P373" t="str">
            <v>YES</v>
          </cell>
          <cell r="Q373" t="str">
            <v>YES</v>
          </cell>
          <cell r="R373" t="str">
            <v>YES</v>
          </cell>
          <cell r="S373"/>
          <cell r="T373"/>
          <cell r="U373"/>
          <cell r="V373"/>
          <cell r="W373"/>
          <cell r="X373"/>
          <cell r="Y373" t="str">
            <v>Live</v>
          </cell>
          <cell r="Z373" t="str">
            <v>Orange Hub</v>
          </cell>
        </row>
        <row r="374">
          <cell r="F374" t="str">
            <v>AUSOP</v>
          </cell>
          <cell r="G374"/>
          <cell r="H374" t="str">
            <v>505</v>
          </cell>
          <cell r="I374" t="str">
            <v>02</v>
          </cell>
          <cell r="J374" t="str">
            <v>x</v>
          </cell>
          <cell r="K374" t="str">
            <v>YES</v>
          </cell>
          <cell r="L374" t="str">
            <v>Arrêté</v>
          </cell>
          <cell r="M374" t="str">
            <v>YES</v>
          </cell>
          <cell r="N374" t="str">
            <v>Arrêté</v>
          </cell>
          <cell r="O374" t="str">
            <v>YES</v>
          </cell>
          <cell r="P374" t="str">
            <v>Arrêté</v>
          </cell>
          <cell r="Q374" t="str">
            <v>YES</v>
          </cell>
          <cell r="R374" t="str">
            <v>Arrêté</v>
          </cell>
          <cell r="S374" t="str">
            <v>YES</v>
          </cell>
          <cell r="T374" t="str">
            <v>YES</v>
          </cell>
          <cell r="U374"/>
          <cell r="V374"/>
          <cell r="W374"/>
          <cell r="X374"/>
          <cell r="Y374" t="str">
            <v>Live</v>
          </cell>
          <cell r="Z374" t="str">
            <v>Bilateral</v>
          </cell>
        </row>
        <row r="375">
          <cell r="F375" t="str">
            <v>LBR07</v>
          </cell>
          <cell r="G375"/>
          <cell r="H375" t="str">
            <v>618</v>
          </cell>
          <cell r="I375" t="str">
            <v>07</v>
          </cell>
          <cell r="J375" t="str">
            <v>x</v>
          </cell>
          <cell r="K375" t="str">
            <v>YES</v>
          </cell>
          <cell r="L375" t="str">
            <v>YES</v>
          </cell>
          <cell r="M375" t="str">
            <v>YES</v>
          </cell>
          <cell r="N375" t="str">
            <v>YES</v>
          </cell>
          <cell r="O375" t="str">
            <v>YES</v>
          </cell>
          <cell r="P375" t="str">
            <v>YES</v>
          </cell>
          <cell r="Q375" t="str">
            <v>YES</v>
          </cell>
          <cell r="R375" t="str">
            <v>YES</v>
          </cell>
          <cell r="S375" t="str">
            <v>YES</v>
          </cell>
          <cell r="T375" t="str">
            <v>YES</v>
          </cell>
          <cell r="U375"/>
          <cell r="V375"/>
          <cell r="W375"/>
          <cell r="X375"/>
          <cell r="Y375" t="str">
            <v>Live</v>
          </cell>
          <cell r="Z375" t="str">
            <v>Bilateral</v>
          </cell>
        </row>
        <row r="376">
          <cell r="F376" t="str">
            <v>MUSCP</v>
          </cell>
          <cell r="G376" t="str">
            <v>MUSFT</v>
          </cell>
          <cell r="H376" t="str">
            <v>617</v>
          </cell>
          <cell r="I376" t="str">
            <v>01</v>
          </cell>
          <cell r="J376" t="str">
            <v>x</v>
          </cell>
          <cell r="K376" t="str">
            <v>YES</v>
          </cell>
          <cell r="L376" t="str">
            <v>YES</v>
          </cell>
          <cell r="M376" t="str">
            <v>YES</v>
          </cell>
          <cell r="N376" t="str">
            <v>YES</v>
          </cell>
          <cell r="O376" t="str">
            <v>YES</v>
          </cell>
          <cell r="P376" t="str">
            <v>YES</v>
          </cell>
          <cell r="Q376" t="str">
            <v>YES</v>
          </cell>
          <cell r="R376" t="str">
            <v>YES</v>
          </cell>
          <cell r="S376" t="str">
            <v>YES</v>
          </cell>
          <cell r="T376" t="str">
            <v>YES</v>
          </cell>
          <cell r="U376"/>
          <cell r="V376"/>
          <cell r="W376"/>
          <cell r="X376"/>
          <cell r="Y376" t="str">
            <v>Live</v>
          </cell>
          <cell r="Z376" t="str">
            <v>Orange Hub</v>
          </cell>
        </row>
        <row r="377">
          <cell r="F377" t="str">
            <v>BELMO</v>
          </cell>
          <cell r="G377"/>
          <cell r="H377" t="str">
            <v>206</v>
          </cell>
          <cell r="I377" t="str">
            <v>10</v>
          </cell>
          <cell r="J377" t="str">
            <v>x</v>
          </cell>
          <cell r="K377" t="str">
            <v>YES</v>
          </cell>
          <cell r="L377" t="str">
            <v>YES</v>
          </cell>
          <cell r="M377" t="str">
            <v>YES</v>
          </cell>
          <cell r="N377" t="str">
            <v>YES</v>
          </cell>
          <cell r="O377" t="str">
            <v>YES</v>
          </cell>
          <cell r="P377" t="str">
            <v>YES</v>
          </cell>
          <cell r="Q377" t="str">
            <v>YES</v>
          </cell>
          <cell r="R377" t="str">
            <v>YES</v>
          </cell>
          <cell r="S377" t="str">
            <v>YES</v>
          </cell>
          <cell r="T377" t="str">
            <v>YES</v>
          </cell>
          <cell r="U377"/>
          <cell r="V377"/>
          <cell r="W377"/>
          <cell r="X377"/>
          <cell r="Y377" t="str">
            <v>Live</v>
          </cell>
          <cell r="Z377" t="str">
            <v>Bilateral</v>
          </cell>
        </row>
        <row r="378">
          <cell r="F378" t="str">
            <v>GNB03</v>
          </cell>
          <cell r="G378" t="str">
            <v>GNBFT</v>
          </cell>
          <cell r="H378">
            <v>632</v>
          </cell>
          <cell r="I378" t="str">
            <v>03</v>
          </cell>
          <cell r="J378"/>
          <cell r="K378" t="str">
            <v>YES</v>
          </cell>
          <cell r="L378" t="str">
            <v>YES</v>
          </cell>
          <cell r="M378" t="str">
            <v>YES</v>
          </cell>
          <cell r="N378" t="str">
            <v>YES</v>
          </cell>
          <cell r="O378" t="str">
            <v>YES</v>
          </cell>
          <cell r="P378" t="str">
            <v>YES</v>
          </cell>
          <cell r="Q378" t="str">
            <v>YES</v>
          </cell>
          <cell r="R378" t="str">
            <v>YES</v>
          </cell>
          <cell r="S378" t="str">
            <v>YES</v>
          </cell>
          <cell r="T378" t="str">
            <v>YES</v>
          </cell>
          <cell r="U378"/>
          <cell r="V378"/>
          <cell r="W378"/>
          <cell r="X378"/>
          <cell r="Y378" t="str">
            <v>Live</v>
          </cell>
          <cell r="Z378" t="str">
            <v>Orange Hub</v>
          </cell>
        </row>
        <row r="379">
          <cell r="F379" t="str">
            <v>BWAVC</v>
          </cell>
          <cell r="G379" t="str">
            <v>BWAFT</v>
          </cell>
          <cell r="H379" t="str">
            <v>652</v>
          </cell>
          <cell r="I379" t="str">
            <v>02</v>
          </cell>
          <cell r="J379" t="str">
            <v>x</v>
          </cell>
          <cell r="K379" t="str">
            <v>YES</v>
          </cell>
          <cell r="L379" t="str">
            <v>YES</v>
          </cell>
          <cell r="M379" t="str">
            <v>YES</v>
          </cell>
          <cell r="N379" t="str">
            <v>YES</v>
          </cell>
          <cell r="O379" t="str">
            <v>YES</v>
          </cell>
          <cell r="P379" t="str">
            <v>YES</v>
          </cell>
          <cell r="Q379" t="str">
            <v>YES</v>
          </cell>
          <cell r="R379" t="str">
            <v>YES</v>
          </cell>
          <cell r="S379" t="str">
            <v>YES</v>
          </cell>
          <cell r="T379" t="str">
            <v>YES</v>
          </cell>
          <cell r="U379"/>
          <cell r="V379"/>
          <cell r="W379"/>
          <cell r="X379"/>
          <cell r="Y379" t="str">
            <v>Live</v>
          </cell>
          <cell r="Z379" t="str">
            <v>Orange Hub</v>
          </cell>
        </row>
        <row r="380">
          <cell r="F380" t="str">
            <v>BFACT</v>
          </cell>
          <cell r="G380" t="str">
            <v>BFAOR</v>
          </cell>
          <cell r="H380" t="str">
            <v>613</v>
          </cell>
          <cell r="I380" t="str">
            <v>02</v>
          </cell>
          <cell r="J380" t="str">
            <v>x</v>
          </cell>
          <cell r="K380" t="str">
            <v>YES</v>
          </cell>
          <cell r="L380" t="str">
            <v>YES</v>
          </cell>
          <cell r="M380" t="str">
            <v>YES</v>
          </cell>
          <cell r="N380" t="str">
            <v>YES</v>
          </cell>
          <cell r="O380" t="str">
            <v>YES</v>
          </cell>
          <cell r="P380" t="str">
            <v>YES</v>
          </cell>
          <cell r="Q380" t="str">
            <v>YES</v>
          </cell>
          <cell r="R380" t="str">
            <v>YES</v>
          </cell>
          <cell r="S380" t="str">
            <v>YES</v>
          </cell>
          <cell r="T380" t="str">
            <v>YES</v>
          </cell>
          <cell r="U380"/>
          <cell r="V380"/>
          <cell r="W380"/>
          <cell r="X380"/>
          <cell r="Y380" t="str">
            <v>Live</v>
          </cell>
          <cell r="Z380" t="str">
            <v>Orange Hub</v>
          </cell>
        </row>
        <row r="381">
          <cell r="F381" t="str">
            <v>CMR02</v>
          </cell>
          <cell r="G381" t="str">
            <v>CMRFT</v>
          </cell>
          <cell r="H381" t="str">
            <v>624</v>
          </cell>
          <cell r="I381" t="str">
            <v>02</v>
          </cell>
          <cell r="J381" t="str">
            <v>x</v>
          </cell>
          <cell r="K381" t="str">
            <v>YES</v>
          </cell>
          <cell r="L381" t="str">
            <v>YES</v>
          </cell>
          <cell r="M381" t="str">
            <v>YES</v>
          </cell>
          <cell r="N381" t="str">
            <v>YES</v>
          </cell>
          <cell r="O381" t="str">
            <v>YES</v>
          </cell>
          <cell r="P381" t="str">
            <v>YES</v>
          </cell>
          <cell r="Q381" t="str">
            <v>YES</v>
          </cell>
          <cell r="R381" t="str">
            <v>YES</v>
          </cell>
          <cell r="S381" t="str">
            <v>YES</v>
          </cell>
          <cell r="T381" t="str">
            <v>YES</v>
          </cell>
          <cell r="U381"/>
          <cell r="V381"/>
          <cell r="W381"/>
          <cell r="X381"/>
          <cell r="Y381" t="str">
            <v>Live</v>
          </cell>
          <cell r="Z381" t="str">
            <v>Orange Hub</v>
          </cell>
        </row>
        <row r="382">
          <cell r="F382" t="str">
            <v>GLP01</v>
          </cell>
          <cell r="G382" t="str">
            <v>GLPFT</v>
          </cell>
          <cell r="H382" t="str">
            <v>340</v>
          </cell>
          <cell r="I382" t="str">
            <v>01</v>
          </cell>
          <cell r="J382" t="str">
            <v>x</v>
          </cell>
          <cell r="K382" t="str">
            <v>YES</v>
          </cell>
          <cell r="L382" t="str">
            <v>YES</v>
          </cell>
          <cell r="M382" t="str">
            <v>YES</v>
          </cell>
          <cell r="N382" t="str">
            <v>YES</v>
          </cell>
          <cell r="O382" t="str">
            <v>YES</v>
          </cell>
          <cell r="P382" t="str">
            <v>YES</v>
          </cell>
          <cell r="Q382" t="str">
            <v>YES</v>
          </cell>
          <cell r="R382" t="str">
            <v>YES</v>
          </cell>
          <cell r="S382" t="str">
            <v>YES</v>
          </cell>
          <cell r="T382" t="str">
            <v>YES</v>
          </cell>
          <cell r="U382"/>
          <cell r="V382"/>
          <cell r="W382"/>
          <cell r="X382"/>
          <cell r="Y382" t="str">
            <v>Live</v>
          </cell>
          <cell r="Z382" t="str">
            <v>Orange Hub</v>
          </cell>
        </row>
        <row r="383">
          <cell r="F383" t="str">
            <v>GLP03</v>
          </cell>
          <cell r="G383" t="str">
            <v>GLPFT</v>
          </cell>
          <cell r="H383">
            <v>340</v>
          </cell>
          <cell r="I383" t="str">
            <v>01</v>
          </cell>
          <cell r="J383" t="str">
            <v>x</v>
          </cell>
          <cell r="K383" t="str">
            <v>YES</v>
          </cell>
          <cell r="L383" t="str">
            <v>YES</v>
          </cell>
          <cell r="M383" t="str">
            <v>YES</v>
          </cell>
          <cell r="N383" t="str">
            <v>YES</v>
          </cell>
          <cell r="O383" t="str">
            <v>YES</v>
          </cell>
          <cell r="P383" t="str">
            <v>YES</v>
          </cell>
          <cell r="Q383" t="str">
            <v>YES</v>
          </cell>
          <cell r="R383" t="str">
            <v>YES</v>
          </cell>
          <cell r="S383" t="str">
            <v>YES</v>
          </cell>
          <cell r="T383" t="str">
            <v>YES</v>
          </cell>
          <cell r="U383"/>
          <cell r="V383"/>
          <cell r="W383"/>
          <cell r="X383"/>
          <cell r="Y383" t="str">
            <v>Live</v>
          </cell>
          <cell r="Z383" t="str">
            <v>Orange Hub</v>
          </cell>
        </row>
        <row r="384">
          <cell r="F384" t="str">
            <v>GLP07</v>
          </cell>
          <cell r="G384" t="str">
            <v>GLPFT</v>
          </cell>
          <cell r="H384">
            <v>340</v>
          </cell>
          <cell r="I384" t="str">
            <v>01</v>
          </cell>
          <cell r="J384" t="str">
            <v>x</v>
          </cell>
          <cell r="K384" t="str">
            <v>YES</v>
          </cell>
          <cell r="L384" t="str">
            <v>YES</v>
          </cell>
          <cell r="M384" t="str">
            <v>YES</v>
          </cell>
          <cell r="N384" t="str">
            <v>YES</v>
          </cell>
          <cell r="O384" t="str">
            <v>YES</v>
          </cell>
          <cell r="P384" t="str">
            <v>YES</v>
          </cell>
          <cell r="Q384" t="str">
            <v>YES</v>
          </cell>
          <cell r="R384" t="str">
            <v>YES</v>
          </cell>
          <cell r="S384" t="str">
            <v>YES</v>
          </cell>
          <cell r="T384" t="str">
            <v>YES</v>
          </cell>
          <cell r="U384"/>
          <cell r="V384"/>
          <cell r="W384"/>
          <cell r="X384"/>
          <cell r="Y384" t="str">
            <v>Live</v>
          </cell>
          <cell r="Z384" t="str">
            <v>Orange Hub</v>
          </cell>
        </row>
        <row r="385">
          <cell r="F385" t="str">
            <v>CAF03</v>
          </cell>
          <cell r="G385" t="str">
            <v>CAFFT</v>
          </cell>
          <cell r="H385" t="str">
            <v>623</v>
          </cell>
          <cell r="I385" t="str">
            <v>03</v>
          </cell>
          <cell r="J385" t="str">
            <v>x</v>
          </cell>
          <cell r="K385" t="str">
            <v>YES</v>
          </cell>
          <cell r="L385" t="str">
            <v>YES</v>
          </cell>
          <cell r="M385" t="str">
            <v>YES</v>
          </cell>
          <cell r="N385" t="str">
            <v>YES</v>
          </cell>
          <cell r="O385" t="str">
            <v>YES</v>
          </cell>
          <cell r="P385" t="str">
            <v>YES</v>
          </cell>
          <cell r="Q385" t="str">
            <v>YES</v>
          </cell>
          <cell r="R385" t="str">
            <v>YES</v>
          </cell>
          <cell r="S385" t="str">
            <v>N.A</v>
          </cell>
          <cell r="T385" t="str">
            <v>N.A</v>
          </cell>
          <cell r="U385"/>
          <cell r="V385"/>
          <cell r="W385"/>
          <cell r="X385"/>
          <cell r="Y385" t="str">
            <v>Live</v>
          </cell>
          <cell r="Z385" t="str">
            <v>Orange Hub</v>
          </cell>
        </row>
        <row r="386">
          <cell r="F386" t="str">
            <v>CIV03</v>
          </cell>
          <cell r="G386" t="str">
            <v>CIVFT</v>
          </cell>
          <cell r="H386" t="str">
            <v>612</v>
          </cell>
          <cell r="I386" t="str">
            <v>03</v>
          </cell>
          <cell r="J386" t="str">
            <v>x</v>
          </cell>
          <cell r="K386" t="str">
            <v>YES</v>
          </cell>
          <cell r="L386" t="str">
            <v>YES</v>
          </cell>
          <cell r="M386" t="str">
            <v>YES</v>
          </cell>
          <cell r="N386" t="str">
            <v>YES</v>
          </cell>
          <cell r="O386" t="str">
            <v>YES</v>
          </cell>
          <cell r="P386" t="str">
            <v>YES</v>
          </cell>
          <cell r="Q386" t="str">
            <v>YES</v>
          </cell>
          <cell r="R386" t="str">
            <v>YES</v>
          </cell>
          <cell r="S386" t="str">
            <v>YES</v>
          </cell>
          <cell r="T386" t="str">
            <v>YES</v>
          </cell>
          <cell r="U386"/>
          <cell r="V386"/>
          <cell r="W386"/>
          <cell r="X386"/>
          <cell r="Y386" t="str">
            <v>Live</v>
          </cell>
          <cell r="Z386" t="str">
            <v>Orange Hub</v>
          </cell>
        </row>
        <row r="387">
          <cell r="F387" t="str">
            <v>DOM01</v>
          </cell>
          <cell r="G387" t="str">
            <v>DOMFT</v>
          </cell>
          <cell r="H387" t="str">
            <v>370</v>
          </cell>
          <cell r="I387" t="str">
            <v>01</v>
          </cell>
          <cell r="J387" t="str">
            <v>x</v>
          </cell>
          <cell r="K387" t="str">
            <v>YES</v>
          </cell>
          <cell r="L387" t="str">
            <v>YES</v>
          </cell>
          <cell r="M387"/>
          <cell r="N387"/>
          <cell r="O387" t="str">
            <v>YES</v>
          </cell>
          <cell r="P387" t="str">
            <v>YES</v>
          </cell>
          <cell r="Q387" t="str">
            <v>YES</v>
          </cell>
          <cell r="R387" t="str">
            <v>YES</v>
          </cell>
          <cell r="S387"/>
          <cell r="T387"/>
          <cell r="U387"/>
          <cell r="V387"/>
          <cell r="W387"/>
          <cell r="X387"/>
          <cell r="Y387" t="str">
            <v>Live</v>
          </cell>
          <cell r="Z387" t="str">
            <v>Orange Hub</v>
          </cell>
        </row>
        <row r="388">
          <cell r="F388" t="str">
            <v>EGYAR</v>
          </cell>
          <cell r="G388" t="str">
            <v>EGYFT</v>
          </cell>
          <cell r="H388" t="str">
            <v>602</v>
          </cell>
          <cell r="I388" t="str">
            <v>01</v>
          </cell>
          <cell r="J388" t="str">
            <v>x</v>
          </cell>
          <cell r="K388" t="str">
            <v>YES</v>
          </cell>
          <cell r="L388" t="str">
            <v>YES</v>
          </cell>
          <cell r="M388" t="str">
            <v>YES</v>
          </cell>
          <cell r="N388" t="str">
            <v>YES</v>
          </cell>
          <cell r="O388" t="str">
            <v>YES</v>
          </cell>
          <cell r="P388" t="str">
            <v>YES</v>
          </cell>
          <cell r="Q388" t="str">
            <v>YES</v>
          </cell>
          <cell r="R388" t="str">
            <v>YES</v>
          </cell>
          <cell r="S388" t="str">
            <v>YES</v>
          </cell>
          <cell r="T388" t="str">
            <v>YES</v>
          </cell>
          <cell r="U388"/>
          <cell r="V388"/>
          <cell r="W388"/>
          <cell r="X388"/>
          <cell r="Y388" t="str">
            <v>Live</v>
          </cell>
          <cell r="Z388" t="str">
            <v>Orange Hub</v>
          </cell>
        </row>
        <row r="389">
          <cell r="F389" t="str">
            <v>FRAF1</v>
          </cell>
          <cell r="G389"/>
          <cell r="H389" t="str">
            <v>208</v>
          </cell>
          <cell r="I389" t="str">
            <v>01</v>
          </cell>
          <cell r="J389" t="str">
            <v>x</v>
          </cell>
          <cell r="K389" t="str">
            <v>YES</v>
          </cell>
          <cell r="L389" t="str">
            <v>YES</v>
          </cell>
          <cell r="M389" t="str">
            <v>YES</v>
          </cell>
          <cell r="N389" t="str">
            <v>YES</v>
          </cell>
          <cell r="O389" t="str">
            <v>YES</v>
          </cell>
          <cell r="P389" t="str">
            <v>YES</v>
          </cell>
          <cell r="Q389" t="str">
            <v>YES</v>
          </cell>
          <cell r="R389" t="str">
            <v>YES</v>
          </cell>
          <cell r="S389" t="str">
            <v>YES</v>
          </cell>
          <cell r="T389" t="str">
            <v>YES</v>
          </cell>
          <cell r="U389"/>
          <cell r="V389"/>
          <cell r="W389"/>
          <cell r="X389"/>
          <cell r="Y389" t="str">
            <v>Live</v>
          </cell>
          <cell r="Z389" t="str">
            <v>Bilateral</v>
          </cell>
        </row>
        <row r="390">
          <cell r="F390" t="str">
            <v>AAZOR</v>
          </cell>
          <cell r="G390"/>
          <cell r="H390" t="str">
            <v>901</v>
          </cell>
          <cell r="I390" t="str">
            <v>31</v>
          </cell>
          <cell r="J390" t="str">
            <v>x</v>
          </cell>
          <cell r="K390" t="str">
            <v>YES</v>
          </cell>
          <cell r="L390" t="str">
            <v>N.A</v>
          </cell>
          <cell r="M390" t="str">
            <v>YES</v>
          </cell>
          <cell r="N390" t="str">
            <v>N.A</v>
          </cell>
          <cell r="O390" t="str">
            <v>YES</v>
          </cell>
          <cell r="P390" t="str">
            <v>N.A</v>
          </cell>
          <cell r="Q390" t="str">
            <v>YES</v>
          </cell>
          <cell r="R390" t="str">
            <v>N.A</v>
          </cell>
          <cell r="S390" t="str">
            <v>YES</v>
          </cell>
          <cell r="T390" t="str">
            <v>N.A</v>
          </cell>
          <cell r="U390"/>
          <cell r="V390"/>
          <cell r="W390"/>
          <cell r="X390"/>
          <cell r="Y390" t="str">
            <v>Live</v>
          </cell>
          <cell r="Z390" t="str">
            <v>Orange Hub</v>
          </cell>
        </row>
        <row r="391">
          <cell r="F391" t="str">
            <v>GINGS</v>
          </cell>
          <cell r="G391" t="str">
            <v>GINFT</v>
          </cell>
          <cell r="H391" t="str">
            <v>611</v>
          </cell>
          <cell r="I391" t="str">
            <v>01</v>
          </cell>
          <cell r="J391" t="str">
            <v>x</v>
          </cell>
          <cell r="K391" t="str">
            <v>YES</v>
          </cell>
          <cell r="L391" t="str">
            <v>YES</v>
          </cell>
          <cell r="M391" t="str">
            <v>YES</v>
          </cell>
          <cell r="N391" t="str">
            <v>YES</v>
          </cell>
          <cell r="O391" t="str">
            <v>YES</v>
          </cell>
          <cell r="P391" t="str">
            <v>YES</v>
          </cell>
          <cell r="Q391" t="str">
            <v>YES</v>
          </cell>
          <cell r="R391" t="str">
            <v>YES</v>
          </cell>
          <cell r="S391" t="str">
            <v>YES</v>
          </cell>
          <cell r="T391" t="str">
            <v>YES</v>
          </cell>
          <cell r="U391"/>
          <cell r="V391"/>
          <cell r="W391"/>
          <cell r="X391"/>
          <cell r="Y391" t="str">
            <v>Live</v>
          </cell>
          <cell r="Z391" t="str">
            <v>Orange Hub</v>
          </cell>
        </row>
        <row r="392">
          <cell r="F392" t="str">
            <v>JORMC</v>
          </cell>
          <cell r="G392" t="str">
            <v>JORFT</v>
          </cell>
          <cell r="H392" t="str">
            <v>416</v>
          </cell>
          <cell r="I392" t="str">
            <v>77</v>
          </cell>
          <cell r="J392" t="str">
            <v>x</v>
          </cell>
          <cell r="K392" t="str">
            <v>YES</v>
          </cell>
          <cell r="L392" t="str">
            <v>YES</v>
          </cell>
          <cell r="M392" t="str">
            <v>YES</v>
          </cell>
          <cell r="N392" t="str">
            <v>YES</v>
          </cell>
          <cell r="O392" t="str">
            <v>YES</v>
          </cell>
          <cell r="P392" t="str">
            <v>YES</v>
          </cell>
          <cell r="Q392" t="str">
            <v>YES</v>
          </cell>
          <cell r="R392" t="str">
            <v>YES</v>
          </cell>
          <cell r="S392" t="str">
            <v>YES</v>
          </cell>
          <cell r="T392" t="str">
            <v>YES</v>
          </cell>
          <cell r="U392"/>
          <cell r="V392"/>
          <cell r="W392"/>
          <cell r="X392"/>
          <cell r="Y392" t="str">
            <v>Live</v>
          </cell>
          <cell r="Z392" t="str">
            <v>Orange Hub</v>
          </cell>
        </row>
        <row r="393">
          <cell r="F393" t="str">
            <v>LUXVM</v>
          </cell>
          <cell r="G393"/>
          <cell r="H393" t="str">
            <v>270</v>
          </cell>
          <cell r="I393" t="str">
            <v>99</v>
          </cell>
          <cell r="J393" t="str">
            <v>x</v>
          </cell>
          <cell r="K393" t="str">
            <v>YES</v>
          </cell>
          <cell r="L393" t="str">
            <v>YES</v>
          </cell>
          <cell r="M393" t="str">
            <v>YES</v>
          </cell>
          <cell r="N393" t="str">
            <v>YES</v>
          </cell>
          <cell r="O393" t="str">
            <v>YES</v>
          </cell>
          <cell r="P393" t="str">
            <v>YES</v>
          </cell>
          <cell r="Q393" t="str">
            <v>YES</v>
          </cell>
          <cell r="R393" t="str">
            <v>YES</v>
          </cell>
          <cell r="S393" t="str">
            <v>YES</v>
          </cell>
          <cell r="T393" t="str">
            <v>YES</v>
          </cell>
          <cell r="U393"/>
          <cell r="V393"/>
          <cell r="W393"/>
          <cell r="X393"/>
          <cell r="Y393" t="str">
            <v>Live</v>
          </cell>
          <cell r="Z393" t="str">
            <v>Bilateral</v>
          </cell>
        </row>
        <row r="394">
          <cell r="F394" t="str">
            <v>MDGAN</v>
          </cell>
          <cell r="G394" t="str">
            <v>MDGFT</v>
          </cell>
          <cell r="H394" t="str">
            <v>646</v>
          </cell>
          <cell r="I394" t="str">
            <v>02</v>
          </cell>
          <cell r="J394" t="str">
            <v>x</v>
          </cell>
          <cell r="K394" t="str">
            <v>YES</v>
          </cell>
          <cell r="L394" t="str">
            <v>YES</v>
          </cell>
          <cell r="M394" t="str">
            <v>YES</v>
          </cell>
          <cell r="N394" t="str">
            <v>YES</v>
          </cell>
          <cell r="O394" t="str">
            <v>YES</v>
          </cell>
          <cell r="P394" t="str">
            <v>YES</v>
          </cell>
          <cell r="Q394" t="str">
            <v>YES</v>
          </cell>
          <cell r="R394" t="str">
            <v>YES</v>
          </cell>
          <cell r="S394" t="str">
            <v>YES</v>
          </cell>
          <cell r="T394" t="str">
            <v>YES</v>
          </cell>
          <cell r="U394"/>
          <cell r="V394"/>
          <cell r="W394"/>
          <cell r="X394"/>
          <cell r="Y394" t="str">
            <v>Live</v>
          </cell>
          <cell r="Z394" t="str">
            <v>Orange Hub</v>
          </cell>
        </row>
        <row r="395">
          <cell r="F395" t="str">
            <v>MLI02</v>
          </cell>
          <cell r="G395" t="str">
            <v>MLIFT</v>
          </cell>
          <cell r="H395" t="str">
            <v>610</v>
          </cell>
          <cell r="I395" t="str">
            <v>02</v>
          </cell>
          <cell r="J395" t="str">
            <v>x</v>
          </cell>
          <cell r="K395" t="str">
            <v>YES</v>
          </cell>
          <cell r="L395" t="str">
            <v>YES</v>
          </cell>
          <cell r="M395" t="str">
            <v>YES</v>
          </cell>
          <cell r="N395" t="str">
            <v>YES</v>
          </cell>
          <cell r="O395" t="str">
            <v>YES</v>
          </cell>
          <cell r="P395" t="str">
            <v>YES</v>
          </cell>
          <cell r="Q395" t="str">
            <v>YES</v>
          </cell>
          <cell r="R395" t="str">
            <v>YES</v>
          </cell>
          <cell r="S395" t="str">
            <v>YES</v>
          </cell>
          <cell r="T395" t="str">
            <v>YES</v>
          </cell>
          <cell r="U395"/>
          <cell r="V395"/>
          <cell r="W395"/>
          <cell r="X395"/>
          <cell r="Y395" t="str">
            <v>Live</v>
          </cell>
          <cell r="Z395" t="str">
            <v>Orange Hub</v>
          </cell>
        </row>
        <row r="396">
          <cell r="F396" t="str">
            <v>MDAVX</v>
          </cell>
          <cell r="G396" t="str">
            <v>MDAFT</v>
          </cell>
          <cell r="H396" t="str">
            <v>259</v>
          </cell>
          <cell r="I396" t="str">
            <v>01</v>
          </cell>
          <cell r="J396" t="str">
            <v>x</v>
          </cell>
          <cell r="K396" t="str">
            <v>YES</v>
          </cell>
          <cell r="L396" t="str">
            <v>YES</v>
          </cell>
          <cell r="M396" t="str">
            <v>YES</v>
          </cell>
          <cell r="N396" t="str">
            <v>YES</v>
          </cell>
          <cell r="O396" t="str">
            <v>YES</v>
          </cell>
          <cell r="P396" t="str">
            <v>YES</v>
          </cell>
          <cell r="Q396" t="str">
            <v>YES</v>
          </cell>
          <cell r="R396" t="str">
            <v>YES</v>
          </cell>
          <cell r="S396" t="str">
            <v>YES</v>
          </cell>
          <cell r="T396" t="str">
            <v>YES</v>
          </cell>
          <cell r="U396"/>
          <cell r="V396"/>
          <cell r="W396"/>
          <cell r="X396"/>
          <cell r="Y396" t="str">
            <v>Live</v>
          </cell>
          <cell r="Z396" t="str">
            <v>Orange Hub</v>
          </cell>
        </row>
        <row r="397">
          <cell r="F397" t="str">
            <v>MARMT</v>
          </cell>
          <cell r="G397"/>
          <cell r="H397" t="str">
            <v>604</v>
          </cell>
          <cell r="I397" t="str">
            <v>00</v>
          </cell>
          <cell r="J397" t="str">
            <v>x</v>
          </cell>
          <cell r="K397" t="str">
            <v>YES</v>
          </cell>
          <cell r="L397" t="str">
            <v>YES</v>
          </cell>
          <cell r="M397" t="str">
            <v>YES</v>
          </cell>
          <cell r="N397" t="str">
            <v>YES</v>
          </cell>
          <cell r="O397" t="str">
            <v>YES</v>
          </cell>
          <cell r="P397" t="str">
            <v>YES</v>
          </cell>
          <cell r="Q397" t="str">
            <v>YES</v>
          </cell>
          <cell r="R397" t="str">
            <v>YES</v>
          </cell>
          <cell r="S397" t="str">
            <v>YES</v>
          </cell>
          <cell r="T397" t="str">
            <v>YES</v>
          </cell>
          <cell r="U397"/>
          <cell r="V397"/>
          <cell r="W397"/>
          <cell r="X397"/>
          <cell r="Y397" t="str">
            <v>Live</v>
          </cell>
          <cell r="Z397" t="str">
            <v>Bilateral</v>
          </cell>
        </row>
        <row r="398">
          <cell r="F398" t="str">
            <v>POL03</v>
          </cell>
          <cell r="G398" t="str">
            <v>POLFT</v>
          </cell>
          <cell r="H398" t="str">
            <v>260</v>
          </cell>
          <cell r="I398" t="str">
            <v>03</v>
          </cell>
          <cell r="J398" t="str">
            <v>x</v>
          </cell>
          <cell r="K398" t="str">
            <v>YES</v>
          </cell>
          <cell r="L398" t="str">
            <v>YES</v>
          </cell>
          <cell r="M398" t="str">
            <v>YES</v>
          </cell>
          <cell r="N398" t="str">
            <v>YES</v>
          </cell>
          <cell r="O398" t="str">
            <v>YES</v>
          </cell>
          <cell r="P398" t="str">
            <v>YES</v>
          </cell>
          <cell r="Q398" t="str">
            <v>YES</v>
          </cell>
          <cell r="R398" t="str">
            <v>YES</v>
          </cell>
          <cell r="S398" t="str">
            <v>YES</v>
          </cell>
          <cell r="T398" t="str">
            <v>YES</v>
          </cell>
          <cell r="U398"/>
          <cell r="V398"/>
          <cell r="W398"/>
          <cell r="X398"/>
          <cell r="Y398" t="str">
            <v>Live</v>
          </cell>
          <cell r="Z398" t="str">
            <v>Orange Hub</v>
          </cell>
        </row>
        <row r="399">
          <cell r="F399" t="str">
            <v>CODSA</v>
          </cell>
          <cell r="G399" t="str">
            <v>CODO1</v>
          </cell>
          <cell r="H399" t="str">
            <v>630</v>
          </cell>
          <cell r="I399" t="str">
            <v>89</v>
          </cell>
          <cell r="J399" t="str">
            <v>x</v>
          </cell>
          <cell r="K399" t="str">
            <v>YES</v>
          </cell>
          <cell r="L399" t="str">
            <v>N.A</v>
          </cell>
          <cell r="M399" t="str">
            <v>YES</v>
          </cell>
          <cell r="N399" t="str">
            <v>N.A</v>
          </cell>
          <cell r="O399" t="str">
            <v>YES</v>
          </cell>
          <cell r="P399" t="str">
            <v>N.A</v>
          </cell>
          <cell r="Q399" t="str">
            <v>YES</v>
          </cell>
          <cell r="R399" t="str">
            <v>N.A</v>
          </cell>
          <cell r="S399" t="str">
            <v>N.A</v>
          </cell>
          <cell r="T399" t="str">
            <v>N.A</v>
          </cell>
          <cell r="U399"/>
          <cell r="V399"/>
          <cell r="W399"/>
          <cell r="X399"/>
          <cell r="Y399" t="str">
            <v>Live</v>
          </cell>
          <cell r="Z399" t="str">
            <v>Orange Hub</v>
          </cell>
        </row>
        <row r="400">
          <cell r="F400" t="str">
            <v>CODOR</v>
          </cell>
          <cell r="G400" t="str">
            <v>CODFT</v>
          </cell>
          <cell r="H400" t="str">
            <v>630</v>
          </cell>
          <cell r="I400" t="str">
            <v>86</v>
          </cell>
          <cell r="J400"/>
          <cell r="K400" t="str">
            <v>YES</v>
          </cell>
          <cell r="L400" t="str">
            <v>YES</v>
          </cell>
          <cell r="M400" t="str">
            <v>YES</v>
          </cell>
          <cell r="N400" t="str">
            <v>YES</v>
          </cell>
          <cell r="O400" t="str">
            <v>YES</v>
          </cell>
          <cell r="P400" t="str">
            <v>YES</v>
          </cell>
          <cell r="Q400" t="str">
            <v>YES</v>
          </cell>
          <cell r="R400" t="str">
            <v>YES</v>
          </cell>
          <cell r="S400" t="str">
            <v>YES</v>
          </cell>
          <cell r="T400" t="str">
            <v>YES</v>
          </cell>
          <cell r="U400"/>
          <cell r="V400"/>
          <cell r="W400"/>
          <cell r="X400"/>
          <cell r="Y400" t="str">
            <v>Live</v>
          </cell>
          <cell r="Z400" t="str">
            <v>Orange Hub</v>
          </cell>
        </row>
        <row r="401">
          <cell r="F401" t="str">
            <v>REU02</v>
          </cell>
          <cell r="G401" t="str">
            <v>REUFT</v>
          </cell>
          <cell r="H401" t="str">
            <v>647</v>
          </cell>
          <cell r="I401" t="str">
            <v>00</v>
          </cell>
          <cell r="J401" t="str">
            <v>x</v>
          </cell>
          <cell r="K401" t="str">
            <v>YES</v>
          </cell>
          <cell r="L401" t="str">
            <v>YES</v>
          </cell>
          <cell r="M401" t="str">
            <v>YES</v>
          </cell>
          <cell r="N401" t="str">
            <v>YES</v>
          </cell>
          <cell r="O401" t="str">
            <v>YES</v>
          </cell>
          <cell r="P401" t="str">
            <v>YES</v>
          </cell>
          <cell r="Q401" t="str">
            <v>YES</v>
          </cell>
          <cell r="R401" t="str">
            <v>YES</v>
          </cell>
          <cell r="S401" t="str">
            <v>YES</v>
          </cell>
          <cell r="T401" t="str">
            <v>YES</v>
          </cell>
          <cell r="U401"/>
          <cell r="V401"/>
          <cell r="W401"/>
          <cell r="X401"/>
          <cell r="Y401" t="str">
            <v>Live</v>
          </cell>
          <cell r="Z401" t="str">
            <v>Orange Hub</v>
          </cell>
        </row>
        <row r="402">
          <cell r="F402" t="str">
            <v>ROMMR</v>
          </cell>
          <cell r="G402"/>
          <cell r="H402" t="str">
            <v>226</v>
          </cell>
          <cell r="I402" t="str">
            <v>10</v>
          </cell>
          <cell r="J402" t="str">
            <v>x</v>
          </cell>
          <cell r="K402" t="str">
            <v>YES</v>
          </cell>
          <cell r="L402" t="str">
            <v>YES</v>
          </cell>
          <cell r="M402" t="str">
            <v>YES</v>
          </cell>
          <cell r="N402" t="str">
            <v>YES</v>
          </cell>
          <cell r="O402" t="str">
            <v>YES</v>
          </cell>
          <cell r="P402" t="str">
            <v>YES</v>
          </cell>
          <cell r="Q402" t="str">
            <v>YES</v>
          </cell>
          <cell r="R402" t="str">
            <v>YES</v>
          </cell>
          <cell r="S402" t="str">
            <v>YES</v>
          </cell>
          <cell r="T402" t="str">
            <v>YES</v>
          </cell>
          <cell r="U402"/>
          <cell r="V402"/>
          <cell r="W402"/>
          <cell r="X402"/>
          <cell r="Y402" t="str">
            <v>Live</v>
          </cell>
          <cell r="Z402" t="str">
            <v>Bilateral</v>
          </cell>
        </row>
        <row r="403">
          <cell r="F403" t="str">
            <v>SVKGT</v>
          </cell>
          <cell r="G403" t="str">
            <v>SVKFT</v>
          </cell>
          <cell r="H403" t="str">
            <v>231</v>
          </cell>
          <cell r="I403" t="str">
            <v>01</v>
          </cell>
          <cell r="J403" t="str">
            <v>x</v>
          </cell>
          <cell r="K403" t="str">
            <v>YES</v>
          </cell>
          <cell r="L403" t="str">
            <v>YES</v>
          </cell>
          <cell r="M403" t="str">
            <v>YES</v>
          </cell>
          <cell r="N403" t="str">
            <v>YES</v>
          </cell>
          <cell r="O403" t="str">
            <v>YES</v>
          </cell>
          <cell r="P403" t="str">
            <v>YES</v>
          </cell>
          <cell r="Q403" t="str">
            <v>YES</v>
          </cell>
          <cell r="R403" t="str">
            <v>YES</v>
          </cell>
          <cell r="S403" t="str">
            <v>YES</v>
          </cell>
          <cell r="T403" t="str">
            <v>YES</v>
          </cell>
          <cell r="U403"/>
          <cell r="V403"/>
          <cell r="W403"/>
          <cell r="X403"/>
          <cell r="Y403" t="str">
            <v>Live</v>
          </cell>
          <cell r="Z403" t="str">
            <v>Orange Hub</v>
          </cell>
        </row>
        <row r="404">
          <cell r="F404" t="str">
            <v>ESPRT</v>
          </cell>
          <cell r="G404" t="str">
            <v>ESPFT</v>
          </cell>
          <cell r="H404" t="str">
            <v>214</v>
          </cell>
          <cell r="I404" t="str">
            <v>03</v>
          </cell>
          <cell r="J404" t="str">
            <v>x</v>
          </cell>
          <cell r="K404" t="str">
            <v>YES</v>
          </cell>
          <cell r="L404" t="str">
            <v>YES</v>
          </cell>
          <cell r="M404" t="str">
            <v>YES</v>
          </cell>
          <cell r="N404" t="str">
            <v>YES</v>
          </cell>
          <cell r="O404" t="str">
            <v>YES</v>
          </cell>
          <cell r="P404" t="str">
            <v>YES</v>
          </cell>
          <cell r="Q404" t="str">
            <v>YES</v>
          </cell>
          <cell r="R404" t="str">
            <v>YES</v>
          </cell>
          <cell r="S404" t="str">
            <v>YES</v>
          </cell>
          <cell r="T404" t="str">
            <v>YES</v>
          </cell>
          <cell r="U404"/>
          <cell r="V404"/>
          <cell r="W404"/>
          <cell r="X404"/>
          <cell r="Y404" t="str">
            <v>Live</v>
          </cell>
          <cell r="Z404" t="str">
            <v>Orange Hub</v>
          </cell>
        </row>
        <row r="405">
          <cell r="F405" t="str">
            <v>CIVOR</v>
          </cell>
          <cell r="G405" t="str">
            <v>CIVK8</v>
          </cell>
          <cell r="H405">
            <v>612</v>
          </cell>
          <cell r="I405" t="str">
            <v>06</v>
          </cell>
          <cell r="J405" t="str">
            <v>x</v>
          </cell>
          <cell r="K405"/>
          <cell r="L405"/>
          <cell r="M405" t="str">
            <v>N.A</v>
          </cell>
          <cell r="N405" t="str">
            <v>N.A</v>
          </cell>
          <cell r="O405" t="str">
            <v>N.A</v>
          </cell>
          <cell r="P405" t="str">
            <v>N.A</v>
          </cell>
          <cell r="Q405" t="str">
            <v>N.A</v>
          </cell>
          <cell r="R405" t="str">
            <v>N.A</v>
          </cell>
          <cell r="S405" t="str">
            <v>N.A</v>
          </cell>
          <cell r="T405" t="str">
            <v>N.A</v>
          </cell>
          <cell r="U405"/>
          <cell r="V405"/>
          <cell r="W405"/>
          <cell r="X405"/>
          <cell r="Y405" t="str">
            <v>Terminated</v>
          </cell>
          <cell r="Z405" t="str">
            <v>Comfone</v>
          </cell>
        </row>
        <row r="406">
          <cell r="F406" t="str">
            <v>POLP4</v>
          </cell>
          <cell r="G406"/>
          <cell r="H406" t="str">
            <v>260</v>
          </cell>
          <cell r="I406" t="str">
            <v>06</v>
          </cell>
          <cell r="J406"/>
          <cell r="K406" t="str">
            <v>YES</v>
          </cell>
          <cell r="L406" t="str">
            <v>YES</v>
          </cell>
          <cell r="M406" t="str">
            <v>YES</v>
          </cell>
          <cell r="N406" t="str">
            <v>YES</v>
          </cell>
          <cell r="O406" t="str">
            <v>YES</v>
          </cell>
          <cell r="P406" t="str">
            <v>YES</v>
          </cell>
          <cell r="Q406" t="str">
            <v>YES</v>
          </cell>
          <cell r="R406" t="str">
            <v>YES</v>
          </cell>
          <cell r="S406" t="str">
            <v>YES</v>
          </cell>
          <cell r="T406" t="str">
            <v>YES</v>
          </cell>
          <cell r="U406"/>
          <cell r="V406"/>
          <cell r="W406"/>
          <cell r="X406"/>
          <cell r="Y406" t="str">
            <v>Live</v>
          </cell>
          <cell r="Z406" t="str">
            <v>Bilateral</v>
          </cell>
        </row>
        <row r="407">
          <cell r="F407" t="str">
            <v>PLWPC</v>
          </cell>
          <cell r="G407" t="str">
            <v>PLWK8</v>
          </cell>
          <cell r="H407" t="str">
            <v>552</v>
          </cell>
          <cell r="I407" t="str">
            <v>01</v>
          </cell>
          <cell r="J407" t="str">
            <v>x</v>
          </cell>
          <cell r="K407" t="str">
            <v>YES</v>
          </cell>
          <cell r="L407" t="str">
            <v>YES</v>
          </cell>
          <cell r="M407"/>
          <cell r="N407" t="str">
            <v>YES</v>
          </cell>
          <cell r="O407" t="str">
            <v>YES</v>
          </cell>
          <cell r="P407" t="str">
            <v>YES</v>
          </cell>
          <cell r="Q407" t="str">
            <v>YES</v>
          </cell>
          <cell r="R407" t="str">
            <v>YES</v>
          </cell>
          <cell r="S407" t="str">
            <v>N.A</v>
          </cell>
          <cell r="T407"/>
          <cell r="U407"/>
          <cell r="V407"/>
          <cell r="W407"/>
          <cell r="X407"/>
          <cell r="Y407" t="str">
            <v>Live</v>
          </cell>
          <cell r="Z407" t="str">
            <v>Comfone</v>
          </cell>
        </row>
        <row r="408">
          <cell r="F408" t="str">
            <v>MEXMS</v>
          </cell>
          <cell r="G408"/>
          <cell r="H408" t="str">
            <v>334</v>
          </cell>
          <cell r="I408" t="str">
            <v>030</v>
          </cell>
          <cell r="J408" t="str">
            <v>x</v>
          </cell>
          <cell r="K408" t="str">
            <v>YES</v>
          </cell>
          <cell r="L408" t="str">
            <v>YES</v>
          </cell>
          <cell r="M408" t="str">
            <v>YES</v>
          </cell>
          <cell r="N408" t="str">
            <v>YES</v>
          </cell>
          <cell r="O408" t="str">
            <v>YES</v>
          </cell>
          <cell r="P408" t="str">
            <v>YES</v>
          </cell>
          <cell r="Q408" t="str">
            <v>YES</v>
          </cell>
          <cell r="R408" t="str">
            <v>YES</v>
          </cell>
          <cell r="S408" t="str">
            <v>YES</v>
          </cell>
          <cell r="T408" t="str">
            <v>YES</v>
          </cell>
          <cell r="U408"/>
          <cell r="V408"/>
          <cell r="W408"/>
          <cell r="X408"/>
          <cell r="Y408" t="str">
            <v>Live</v>
          </cell>
          <cell r="Z408" t="str">
            <v>Bilateral</v>
          </cell>
        </row>
        <row r="409">
          <cell r="F409" t="str">
            <v>ALBM4</v>
          </cell>
          <cell r="G409"/>
          <cell r="H409" t="str">
            <v>276</v>
          </cell>
          <cell r="I409" t="str">
            <v>04</v>
          </cell>
          <cell r="J409" t="str">
            <v>x</v>
          </cell>
          <cell r="K409" t="str">
            <v>YES</v>
          </cell>
          <cell r="L409" t="str">
            <v>YES</v>
          </cell>
          <cell r="M409" t="str">
            <v>YES</v>
          </cell>
          <cell r="N409" t="str">
            <v>YES</v>
          </cell>
          <cell r="O409" t="str">
            <v>YES</v>
          </cell>
          <cell r="P409" t="str">
            <v>YES</v>
          </cell>
          <cell r="Q409" t="str">
            <v>YES</v>
          </cell>
          <cell r="R409" t="str">
            <v>N.A</v>
          </cell>
          <cell r="S409"/>
          <cell r="T409"/>
          <cell r="U409"/>
          <cell r="V409"/>
          <cell r="W409"/>
          <cell r="X409"/>
          <cell r="Y409" t="str">
            <v>Live</v>
          </cell>
          <cell r="Z409" t="str">
            <v>Bilateral</v>
          </cell>
        </row>
        <row r="410">
          <cell r="F410" t="str">
            <v>POLKM</v>
          </cell>
          <cell r="G410"/>
          <cell r="H410" t="str">
            <v>260</v>
          </cell>
          <cell r="I410" t="str">
            <v>01</v>
          </cell>
          <cell r="J410" t="str">
            <v>x</v>
          </cell>
          <cell r="K410" t="str">
            <v>YES</v>
          </cell>
          <cell r="L410" t="str">
            <v>YES</v>
          </cell>
          <cell r="M410" t="str">
            <v>YES</v>
          </cell>
          <cell r="N410" t="str">
            <v>YES</v>
          </cell>
          <cell r="O410" t="str">
            <v>YES</v>
          </cell>
          <cell r="P410" t="str">
            <v>YES</v>
          </cell>
          <cell r="Q410" t="str">
            <v>YES</v>
          </cell>
          <cell r="R410" t="str">
            <v>YES</v>
          </cell>
          <cell r="S410" t="str">
            <v>YES</v>
          </cell>
          <cell r="T410" t="str">
            <v>YES</v>
          </cell>
          <cell r="U410"/>
          <cell r="V410"/>
          <cell r="W410"/>
          <cell r="X410"/>
          <cell r="Y410" t="str">
            <v>Live</v>
          </cell>
          <cell r="Z410" t="str">
            <v>Bilateral</v>
          </cell>
        </row>
        <row r="411">
          <cell r="F411" t="str">
            <v>POLCP</v>
          </cell>
          <cell r="G411"/>
          <cell r="H411" t="str">
            <v>260</v>
          </cell>
          <cell r="I411" t="str">
            <v>12</v>
          </cell>
          <cell r="J411" t="str">
            <v>x</v>
          </cell>
          <cell r="K411" t="str">
            <v>YES</v>
          </cell>
          <cell r="L411"/>
          <cell r="M411" t="str">
            <v>N.A</v>
          </cell>
          <cell r="N411" t="str">
            <v>N.A</v>
          </cell>
          <cell r="O411" t="str">
            <v>N.A</v>
          </cell>
          <cell r="P411" t="str">
            <v>N.A</v>
          </cell>
          <cell r="Q411" t="str">
            <v>N.A</v>
          </cell>
          <cell r="R411" t="str">
            <v>N.A</v>
          </cell>
          <cell r="S411" t="str">
            <v>N.A</v>
          </cell>
          <cell r="T411" t="str">
            <v>N.A</v>
          </cell>
          <cell r="U411"/>
          <cell r="V411"/>
          <cell r="W411"/>
          <cell r="X411"/>
          <cell r="Y411" t="str">
            <v>Terminated</v>
          </cell>
          <cell r="Z411" t="str">
            <v>Bilateral</v>
          </cell>
        </row>
        <row r="412">
          <cell r="F412" t="str">
            <v>LUXPT</v>
          </cell>
          <cell r="G412" t="str">
            <v>LUXK9</v>
          </cell>
          <cell r="H412" t="str">
            <v>270</v>
          </cell>
          <cell r="I412" t="str">
            <v>01</v>
          </cell>
          <cell r="J412" t="str">
            <v>x</v>
          </cell>
          <cell r="K412" t="str">
            <v>YES</v>
          </cell>
          <cell r="L412" t="str">
            <v>YES</v>
          </cell>
          <cell r="M412" t="str">
            <v>YES</v>
          </cell>
          <cell r="N412" t="str">
            <v>YES</v>
          </cell>
          <cell r="O412" t="str">
            <v>YES</v>
          </cell>
          <cell r="P412" t="str">
            <v>Arrêté</v>
          </cell>
          <cell r="Q412" t="str">
            <v>YES</v>
          </cell>
          <cell r="R412" t="str">
            <v>Arrêté</v>
          </cell>
          <cell r="S412" t="str">
            <v>YES</v>
          </cell>
          <cell r="T412" t="str">
            <v>YES</v>
          </cell>
          <cell r="U412"/>
          <cell r="V412"/>
          <cell r="W412"/>
          <cell r="X412"/>
          <cell r="Y412" t="str">
            <v>Live</v>
          </cell>
          <cell r="Z412" t="str">
            <v>Comfone</v>
          </cell>
        </row>
        <row r="413">
          <cell r="F413" t="str">
            <v>CYPPT</v>
          </cell>
          <cell r="G413"/>
          <cell r="H413" t="str">
            <v>280</v>
          </cell>
          <cell r="I413" t="str">
            <v>20</v>
          </cell>
          <cell r="J413" t="str">
            <v>x</v>
          </cell>
          <cell r="K413" t="str">
            <v>YES</v>
          </cell>
          <cell r="L413" t="str">
            <v>YES</v>
          </cell>
          <cell r="M413" t="str">
            <v>YES</v>
          </cell>
          <cell r="N413" t="str">
            <v>YES</v>
          </cell>
          <cell r="O413" t="str">
            <v>YES</v>
          </cell>
          <cell r="P413" t="str">
            <v>Arrêté</v>
          </cell>
          <cell r="Q413" t="str">
            <v>YES</v>
          </cell>
          <cell r="R413" t="str">
            <v>Arrêté</v>
          </cell>
          <cell r="S413" t="str">
            <v>YES</v>
          </cell>
          <cell r="T413" t="str">
            <v>YES</v>
          </cell>
          <cell r="U413"/>
          <cell r="V413"/>
          <cell r="W413"/>
          <cell r="X413"/>
          <cell r="Y413" t="str">
            <v>Live</v>
          </cell>
          <cell r="Z413" t="str">
            <v>Bilateral</v>
          </cell>
        </row>
        <row r="414">
          <cell r="F414" t="str">
            <v>BELTB</v>
          </cell>
          <cell r="G414"/>
          <cell r="H414" t="str">
            <v>206</v>
          </cell>
          <cell r="I414" t="str">
            <v>01</v>
          </cell>
          <cell r="J414" t="str">
            <v>x</v>
          </cell>
          <cell r="K414" t="str">
            <v>YES</v>
          </cell>
          <cell r="L414" t="str">
            <v>YES</v>
          </cell>
          <cell r="M414" t="str">
            <v>YES</v>
          </cell>
          <cell r="N414" t="str">
            <v>YES</v>
          </cell>
          <cell r="O414" t="str">
            <v>YES</v>
          </cell>
          <cell r="P414" t="str">
            <v>YES</v>
          </cell>
          <cell r="Q414" t="str">
            <v>YES</v>
          </cell>
          <cell r="R414" t="str">
            <v>YES</v>
          </cell>
          <cell r="S414" t="str">
            <v>YES</v>
          </cell>
          <cell r="T414"/>
          <cell r="U414"/>
          <cell r="V414"/>
          <cell r="W414"/>
          <cell r="X414"/>
          <cell r="Y414" t="str">
            <v>Live</v>
          </cell>
          <cell r="Z414" t="str">
            <v>Bilateral</v>
          </cell>
        </row>
        <row r="415">
          <cell r="F415" t="str">
            <v>IDNSL</v>
          </cell>
          <cell r="G415" t="str">
            <v>IDNK8</v>
          </cell>
          <cell r="H415" t="str">
            <v>510</v>
          </cell>
          <cell r="I415" t="str">
            <v>01</v>
          </cell>
          <cell r="J415" t="str">
            <v>x</v>
          </cell>
          <cell r="K415" t="str">
            <v>YES</v>
          </cell>
          <cell r="L415" t="str">
            <v>YES</v>
          </cell>
          <cell r="M415" t="str">
            <v>YES</v>
          </cell>
          <cell r="N415" t="str">
            <v>YES</v>
          </cell>
          <cell r="O415" t="str">
            <v>YES</v>
          </cell>
          <cell r="P415" t="str">
            <v>Arrêté</v>
          </cell>
          <cell r="Q415" t="str">
            <v>YES</v>
          </cell>
          <cell r="R415" t="str">
            <v>Arrêté</v>
          </cell>
          <cell r="S415" t="str">
            <v>YES</v>
          </cell>
          <cell r="T415" t="str">
            <v>YES</v>
          </cell>
          <cell r="U415"/>
          <cell r="V415"/>
          <cell r="W415"/>
          <cell r="X415"/>
          <cell r="Y415" t="str">
            <v>Live</v>
          </cell>
          <cell r="Z415" t="str">
            <v>Comfone</v>
          </cell>
        </row>
        <row r="416">
          <cell r="F416" t="str">
            <v>IDNIM</v>
          </cell>
          <cell r="G416" t="str">
            <v>IDNK7</v>
          </cell>
          <cell r="H416" t="str">
            <v>510</v>
          </cell>
          <cell r="I416" t="str">
            <v>21</v>
          </cell>
          <cell r="J416" t="str">
            <v>x</v>
          </cell>
          <cell r="K416" t="str">
            <v>YES</v>
          </cell>
          <cell r="L416" t="str">
            <v>N.A</v>
          </cell>
          <cell r="M416" t="str">
            <v>N.A</v>
          </cell>
          <cell r="N416" t="str">
            <v>N.A</v>
          </cell>
          <cell r="O416" t="str">
            <v>YES</v>
          </cell>
          <cell r="P416" t="str">
            <v>N.A</v>
          </cell>
          <cell r="Q416" t="str">
            <v>YES</v>
          </cell>
          <cell r="R416" t="str">
            <v>N.A</v>
          </cell>
          <cell r="S416" t="str">
            <v>YES</v>
          </cell>
          <cell r="T416" t="str">
            <v>N.A</v>
          </cell>
          <cell r="U416"/>
          <cell r="V416"/>
          <cell r="W416"/>
          <cell r="X416"/>
          <cell r="Y416" t="str">
            <v>Live</v>
          </cell>
          <cell r="Z416" t="str">
            <v>Comfone</v>
          </cell>
        </row>
        <row r="417">
          <cell r="F417" t="str">
            <v>GMBQC</v>
          </cell>
          <cell r="G417"/>
          <cell r="H417" t="str">
            <v>607</v>
          </cell>
          <cell r="I417" t="str">
            <v>04</v>
          </cell>
          <cell r="J417" t="str">
            <v>x</v>
          </cell>
          <cell r="K417" t="str">
            <v>YES</v>
          </cell>
          <cell r="L417" t="str">
            <v>YES</v>
          </cell>
          <cell r="M417" t="str">
            <v>YES</v>
          </cell>
          <cell r="N417" t="str">
            <v>YES</v>
          </cell>
          <cell r="O417" t="str">
            <v>YES</v>
          </cell>
          <cell r="P417" t="str">
            <v>YES</v>
          </cell>
          <cell r="Q417" t="str">
            <v>YES</v>
          </cell>
          <cell r="R417" t="str">
            <v>YES</v>
          </cell>
          <cell r="S417"/>
          <cell r="T417" t="str">
            <v>YES</v>
          </cell>
          <cell r="U417"/>
          <cell r="V417"/>
          <cell r="W417"/>
          <cell r="X417"/>
          <cell r="Y417" t="str">
            <v>Live</v>
          </cell>
          <cell r="Z417" t="str">
            <v>Bilateral</v>
          </cell>
        </row>
        <row r="418">
          <cell r="F418" t="str">
            <v>ROM05</v>
          </cell>
          <cell r="G418"/>
          <cell r="H418" t="str">
            <v>226</v>
          </cell>
          <cell r="I418" t="str">
            <v>05</v>
          </cell>
          <cell r="J418" t="str">
            <v>x</v>
          </cell>
          <cell r="K418" t="str">
            <v>YES</v>
          </cell>
          <cell r="L418" t="str">
            <v>YES</v>
          </cell>
          <cell r="M418" t="str">
            <v>N.A</v>
          </cell>
          <cell r="N418"/>
          <cell r="O418" t="str">
            <v>YES</v>
          </cell>
          <cell r="P418" t="str">
            <v>YES</v>
          </cell>
          <cell r="Q418" t="str">
            <v>YES</v>
          </cell>
          <cell r="R418" t="str">
            <v>YES</v>
          </cell>
          <cell r="S418" t="str">
            <v>YES</v>
          </cell>
          <cell r="T418"/>
          <cell r="U418"/>
          <cell r="V418"/>
          <cell r="W418"/>
          <cell r="X418"/>
          <cell r="Y418" t="str">
            <v>Live</v>
          </cell>
          <cell r="Z418" t="str">
            <v>Bilateral</v>
          </cell>
        </row>
        <row r="419">
          <cell r="F419" t="str">
            <v>INDRM</v>
          </cell>
          <cell r="G419" t="str">
            <v>INDL9</v>
          </cell>
          <cell r="H419">
            <v>404</v>
          </cell>
          <cell r="I419" t="str">
            <v>67</v>
          </cell>
          <cell r="J419" t="str">
            <v>x</v>
          </cell>
          <cell r="K419" t="str">
            <v>YES</v>
          </cell>
          <cell r="L419" t="str">
            <v>YES</v>
          </cell>
          <cell r="M419" t="str">
            <v>N.A</v>
          </cell>
          <cell r="N419"/>
          <cell r="O419" t="str">
            <v>YES</v>
          </cell>
          <cell r="P419" t="str">
            <v>YES</v>
          </cell>
          <cell r="Q419" t="str">
            <v>YES</v>
          </cell>
          <cell r="R419" t="str">
            <v>YES</v>
          </cell>
          <cell r="S419"/>
          <cell r="T419"/>
          <cell r="U419"/>
          <cell r="V419"/>
          <cell r="W419"/>
          <cell r="X419"/>
          <cell r="Y419" t="str">
            <v>Live</v>
          </cell>
          <cell r="Z419" t="str">
            <v>Comfone</v>
          </cell>
        </row>
        <row r="420">
          <cell r="F420" t="str">
            <v>INDJ2</v>
          </cell>
          <cell r="G420" t="str">
            <v>INDP2</v>
          </cell>
          <cell r="H420" t="str">
            <v>405</v>
          </cell>
          <cell r="I420" t="str">
            <v>854</v>
          </cell>
          <cell r="J420" t="str">
            <v>x</v>
          </cell>
          <cell r="K420" t="str">
            <v>YES</v>
          </cell>
          <cell r="L420" t="str">
            <v>N.A</v>
          </cell>
          <cell r="M420" t="str">
            <v>YES</v>
          </cell>
          <cell r="N420" t="str">
            <v>N.A</v>
          </cell>
          <cell r="O420" t="str">
            <v>YES</v>
          </cell>
          <cell r="P420" t="str">
            <v>N.A</v>
          </cell>
          <cell r="Q420" t="str">
            <v>YES</v>
          </cell>
          <cell r="R420" t="str">
            <v>N.A</v>
          </cell>
          <cell r="S420" t="str">
            <v>YES</v>
          </cell>
          <cell r="T420" t="str">
            <v>N.A</v>
          </cell>
          <cell r="U420"/>
          <cell r="V420"/>
          <cell r="W420"/>
          <cell r="X420"/>
          <cell r="Y420" t="str">
            <v>Live</v>
          </cell>
          <cell r="Z420" t="str">
            <v>Comfone</v>
          </cell>
        </row>
        <row r="421">
          <cell r="F421" t="str">
            <v>INDJ3</v>
          </cell>
          <cell r="G421" t="str">
            <v>INDP3</v>
          </cell>
          <cell r="H421" t="str">
            <v>405</v>
          </cell>
          <cell r="I421" t="str">
            <v>855</v>
          </cell>
          <cell r="J421" t="str">
            <v>x</v>
          </cell>
          <cell r="K421" t="str">
            <v>YES</v>
          </cell>
          <cell r="L421" t="str">
            <v>N.A</v>
          </cell>
          <cell r="M421" t="str">
            <v>YES</v>
          </cell>
          <cell r="N421" t="str">
            <v>N.A</v>
          </cell>
          <cell r="O421" t="str">
            <v>YES</v>
          </cell>
          <cell r="P421" t="str">
            <v>N.A</v>
          </cell>
          <cell r="Q421" t="str">
            <v>YES</v>
          </cell>
          <cell r="R421" t="str">
            <v>N.A</v>
          </cell>
          <cell r="S421" t="str">
            <v>YES</v>
          </cell>
          <cell r="T421" t="str">
            <v>N.A</v>
          </cell>
          <cell r="U421"/>
          <cell r="V421"/>
          <cell r="W421"/>
          <cell r="X421"/>
          <cell r="Y421" t="str">
            <v>Live</v>
          </cell>
          <cell r="Z421" t="str">
            <v>Comfone</v>
          </cell>
        </row>
        <row r="422">
          <cell r="F422" t="str">
            <v>INDJ4</v>
          </cell>
          <cell r="G422" t="str">
            <v>INDP4</v>
          </cell>
          <cell r="H422" t="str">
            <v>405</v>
          </cell>
          <cell r="I422" t="str">
            <v>856</v>
          </cell>
          <cell r="J422" t="str">
            <v>x</v>
          </cell>
          <cell r="K422" t="str">
            <v>YES</v>
          </cell>
          <cell r="L422" t="str">
            <v>N.A</v>
          </cell>
          <cell r="M422" t="str">
            <v>YES</v>
          </cell>
          <cell r="N422" t="str">
            <v>N.A</v>
          </cell>
          <cell r="O422" t="str">
            <v>YES</v>
          </cell>
          <cell r="P422" t="str">
            <v>N.A</v>
          </cell>
          <cell r="Q422" t="str">
            <v>YES</v>
          </cell>
          <cell r="R422" t="str">
            <v>N.A</v>
          </cell>
          <cell r="S422" t="str">
            <v>YES</v>
          </cell>
          <cell r="T422" t="str">
            <v>N.A</v>
          </cell>
          <cell r="U422"/>
          <cell r="V422"/>
          <cell r="W422"/>
          <cell r="X422"/>
          <cell r="Y422" t="str">
            <v>Live</v>
          </cell>
          <cell r="Z422" t="str">
            <v>Comfone</v>
          </cell>
        </row>
        <row r="423">
          <cell r="F423" t="str">
            <v>INDJV</v>
          </cell>
          <cell r="G423" t="str">
            <v>INDPV</v>
          </cell>
          <cell r="H423" t="str">
            <v>405</v>
          </cell>
          <cell r="I423" t="str">
            <v>872</v>
          </cell>
          <cell r="J423" t="str">
            <v>x</v>
          </cell>
          <cell r="K423" t="str">
            <v>YES</v>
          </cell>
          <cell r="L423" t="str">
            <v>N.A</v>
          </cell>
          <cell r="M423" t="str">
            <v>YES</v>
          </cell>
          <cell r="N423" t="str">
            <v>N.A</v>
          </cell>
          <cell r="O423" t="str">
            <v>YES</v>
          </cell>
          <cell r="P423" t="str">
            <v>N.A</v>
          </cell>
          <cell r="Q423" t="str">
            <v>YES</v>
          </cell>
          <cell r="R423" t="str">
            <v>N.A</v>
          </cell>
          <cell r="S423" t="str">
            <v>YES</v>
          </cell>
          <cell r="T423" t="str">
            <v>N.A</v>
          </cell>
          <cell r="U423"/>
          <cell r="V423"/>
          <cell r="W423"/>
          <cell r="X423"/>
          <cell r="Y423" t="str">
            <v>Live</v>
          </cell>
          <cell r="Z423" t="str">
            <v>Comfone</v>
          </cell>
        </row>
        <row r="424">
          <cell r="F424" t="str">
            <v>INDJ5</v>
          </cell>
          <cell r="G424" t="str">
            <v>INDP5</v>
          </cell>
          <cell r="H424" t="str">
            <v>405</v>
          </cell>
          <cell r="I424" t="str">
            <v>857</v>
          </cell>
          <cell r="J424" t="str">
            <v>x</v>
          </cell>
          <cell r="K424" t="str">
            <v>YES</v>
          </cell>
          <cell r="L424" t="str">
            <v>N.A</v>
          </cell>
          <cell r="M424" t="str">
            <v>YES</v>
          </cell>
          <cell r="N424" t="str">
            <v>N.A</v>
          </cell>
          <cell r="O424" t="str">
            <v>YES</v>
          </cell>
          <cell r="P424" t="str">
            <v>N.A</v>
          </cell>
          <cell r="Q424" t="str">
            <v>YES</v>
          </cell>
          <cell r="R424" t="str">
            <v>N.A</v>
          </cell>
          <cell r="S424" t="str">
            <v>YES</v>
          </cell>
          <cell r="T424" t="str">
            <v>N.A</v>
          </cell>
          <cell r="U424"/>
          <cell r="V424"/>
          <cell r="W424"/>
          <cell r="X424"/>
          <cell r="Y424" t="str">
            <v>Live</v>
          </cell>
          <cell r="Z424" t="str">
            <v>Comfone</v>
          </cell>
        </row>
        <row r="425">
          <cell r="F425" t="str">
            <v>INDJ6</v>
          </cell>
          <cell r="G425" t="str">
            <v>INDP6</v>
          </cell>
          <cell r="H425" t="str">
            <v>405</v>
          </cell>
          <cell r="I425" t="str">
            <v>858</v>
          </cell>
          <cell r="J425" t="str">
            <v>x</v>
          </cell>
          <cell r="K425" t="str">
            <v>YES</v>
          </cell>
          <cell r="L425" t="str">
            <v>N.A</v>
          </cell>
          <cell r="M425" t="str">
            <v>YES</v>
          </cell>
          <cell r="N425" t="str">
            <v>N.A</v>
          </cell>
          <cell r="O425" t="str">
            <v>YES</v>
          </cell>
          <cell r="P425" t="str">
            <v>N.A</v>
          </cell>
          <cell r="Q425" t="str">
            <v>YES</v>
          </cell>
          <cell r="R425" t="str">
            <v>N.A</v>
          </cell>
          <cell r="S425" t="str">
            <v>YES</v>
          </cell>
          <cell r="T425" t="str">
            <v>N.A</v>
          </cell>
          <cell r="U425"/>
          <cell r="V425"/>
          <cell r="W425"/>
          <cell r="X425"/>
          <cell r="Y425" t="str">
            <v>Live</v>
          </cell>
          <cell r="Z425" t="str">
            <v>Comfone</v>
          </cell>
        </row>
        <row r="426">
          <cell r="F426" t="str">
            <v>INDJ7</v>
          </cell>
          <cell r="G426" t="str">
            <v>INDP7</v>
          </cell>
          <cell r="H426" t="str">
            <v>405</v>
          </cell>
          <cell r="I426" t="str">
            <v>859</v>
          </cell>
          <cell r="J426" t="str">
            <v>x</v>
          </cell>
          <cell r="K426" t="str">
            <v>YES</v>
          </cell>
          <cell r="L426" t="str">
            <v>N.A</v>
          </cell>
          <cell r="M426" t="str">
            <v>YES</v>
          </cell>
          <cell r="N426" t="str">
            <v>N.A</v>
          </cell>
          <cell r="O426" t="str">
            <v>YES</v>
          </cell>
          <cell r="P426" t="str">
            <v>N.A</v>
          </cell>
          <cell r="Q426" t="str">
            <v>YES</v>
          </cell>
          <cell r="R426" t="str">
            <v>N.A</v>
          </cell>
          <cell r="S426" t="str">
            <v>YES</v>
          </cell>
          <cell r="T426" t="str">
            <v>N.A</v>
          </cell>
          <cell r="U426"/>
          <cell r="V426"/>
          <cell r="W426"/>
          <cell r="X426"/>
          <cell r="Y426" t="str">
            <v>Live</v>
          </cell>
          <cell r="Z426" t="str">
            <v>Comfone</v>
          </cell>
        </row>
        <row r="427">
          <cell r="F427" t="str">
            <v>INDJ8</v>
          </cell>
          <cell r="G427" t="str">
            <v>INDP8</v>
          </cell>
          <cell r="H427" t="str">
            <v>405</v>
          </cell>
          <cell r="I427" t="str">
            <v>860</v>
          </cell>
          <cell r="J427" t="str">
            <v>x</v>
          </cell>
          <cell r="K427" t="str">
            <v>YES</v>
          </cell>
          <cell r="L427" t="str">
            <v>N.A</v>
          </cell>
          <cell r="M427" t="str">
            <v>YES</v>
          </cell>
          <cell r="N427" t="str">
            <v>N.A</v>
          </cell>
          <cell r="O427" t="str">
            <v>YES</v>
          </cell>
          <cell r="P427" t="str">
            <v>N.A</v>
          </cell>
          <cell r="Q427" t="str">
            <v>YES</v>
          </cell>
          <cell r="R427" t="str">
            <v>N.A</v>
          </cell>
          <cell r="S427" t="str">
            <v>YES</v>
          </cell>
          <cell r="T427" t="str">
            <v>N.A</v>
          </cell>
          <cell r="U427"/>
          <cell r="V427"/>
          <cell r="W427"/>
          <cell r="X427"/>
          <cell r="Y427" t="str">
            <v>Live</v>
          </cell>
          <cell r="Z427" t="str">
            <v>Comfone</v>
          </cell>
        </row>
        <row r="428">
          <cell r="F428" t="str">
            <v>INDJ9</v>
          </cell>
          <cell r="G428" t="str">
            <v>INDP9</v>
          </cell>
          <cell r="H428" t="str">
            <v>405</v>
          </cell>
          <cell r="I428" t="str">
            <v>861</v>
          </cell>
          <cell r="J428" t="str">
            <v>x</v>
          </cell>
          <cell r="K428" t="str">
            <v>YES</v>
          </cell>
          <cell r="L428" t="str">
            <v>N.A</v>
          </cell>
          <cell r="M428" t="str">
            <v>YES</v>
          </cell>
          <cell r="N428" t="str">
            <v>N.A</v>
          </cell>
          <cell r="O428" t="str">
            <v>YES</v>
          </cell>
          <cell r="P428" t="str">
            <v>N.A</v>
          </cell>
          <cell r="Q428" t="str">
            <v>YES</v>
          </cell>
          <cell r="R428" t="str">
            <v>N.A</v>
          </cell>
          <cell r="S428" t="str">
            <v>YES</v>
          </cell>
          <cell r="T428" t="str">
            <v>N.A</v>
          </cell>
          <cell r="U428"/>
          <cell r="V428"/>
          <cell r="W428"/>
          <cell r="X428"/>
          <cell r="Y428" t="str">
            <v>Live</v>
          </cell>
          <cell r="Z428" t="str">
            <v>Comfone</v>
          </cell>
        </row>
        <row r="429">
          <cell r="F429" t="str">
            <v>INDJL</v>
          </cell>
          <cell r="G429" t="str">
            <v>INDPL</v>
          </cell>
          <cell r="H429" t="str">
            <v>405</v>
          </cell>
          <cell r="I429" t="str">
            <v>862</v>
          </cell>
          <cell r="J429" t="str">
            <v>x</v>
          </cell>
          <cell r="K429" t="str">
            <v>YES</v>
          </cell>
          <cell r="L429" t="str">
            <v>N.A</v>
          </cell>
          <cell r="M429" t="str">
            <v>YES</v>
          </cell>
          <cell r="N429" t="str">
            <v>N.A</v>
          </cell>
          <cell r="O429" t="str">
            <v>YES</v>
          </cell>
          <cell r="P429" t="str">
            <v>N.A</v>
          </cell>
          <cell r="Q429" t="str">
            <v>YES</v>
          </cell>
          <cell r="R429" t="str">
            <v>N.A</v>
          </cell>
          <cell r="S429" t="str">
            <v>YES</v>
          </cell>
          <cell r="T429" t="str">
            <v>N.A</v>
          </cell>
          <cell r="U429"/>
          <cell r="V429"/>
          <cell r="W429"/>
          <cell r="X429"/>
          <cell r="Y429" t="str">
            <v>Live</v>
          </cell>
          <cell r="Z429" t="str">
            <v>Comfone</v>
          </cell>
        </row>
        <row r="430">
          <cell r="F430" t="str">
            <v>INDJW</v>
          </cell>
          <cell r="G430" t="str">
            <v>INDPZ</v>
          </cell>
          <cell r="H430" t="str">
            <v>405</v>
          </cell>
          <cell r="I430" t="str">
            <v>873</v>
          </cell>
          <cell r="J430" t="str">
            <v>x</v>
          </cell>
          <cell r="K430" t="str">
            <v>YES</v>
          </cell>
          <cell r="L430" t="str">
            <v>N.A</v>
          </cell>
          <cell r="M430" t="str">
            <v>YES</v>
          </cell>
          <cell r="N430" t="str">
            <v>N.A</v>
          </cell>
          <cell r="O430" t="str">
            <v>YES</v>
          </cell>
          <cell r="P430" t="str">
            <v>N.A</v>
          </cell>
          <cell r="Q430" t="str">
            <v>YES</v>
          </cell>
          <cell r="R430" t="str">
            <v>N.A</v>
          </cell>
          <cell r="S430" t="str">
            <v>YES</v>
          </cell>
          <cell r="T430" t="str">
            <v>N.A</v>
          </cell>
          <cell r="U430"/>
          <cell r="V430"/>
          <cell r="W430"/>
          <cell r="X430"/>
          <cell r="Y430" t="str">
            <v>Live</v>
          </cell>
          <cell r="Z430" t="str">
            <v>Comfone</v>
          </cell>
        </row>
        <row r="431">
          <cell r="F431" t="str">
            <v>INDJN</v>
          </cell>
          <cell r="G431" t="str">
            <v>INDPY</v>
          </cell>
          <cell r="H431" t="str">
            <v>405</v>
          </cell>
          <cell r="I431" t="str">
            <v>864</v>
          </cell>
          <cell r="J431" t="str">
            <v>x</v>
          </cell>
          <cell r="K431" t="str">
            <v>YES</v>
          </cell>
          <cell r="L431" t="str">
            <v>N.A</v>
          </cell>
          <cell r="M431" t="str">
            <v>YES</v>
          </cell>
          <cell r="N431" t="str">
            <v>N.A</v>
          </cell>
          <cell r="O431" t="str">
            <v>YES</v>
          </cell>
          <cell r="P431" t="str">
            <v>N.A</v>
          </cell>
          <cell r="Q431" t="str">
            <v>YES</v>
          </cell>
          <cell r="R431" t="str">
            <v>N.A</v>
          </cell>
          <cell r="S431" t="str">
            <v>YES</v>
          </cell>
          <cell r="T431" t="str">
            <v>N.A</v>
          </cell>
          <cell r="U431"/>
          <cell r="V431"/>
          <cell r="W431"/>
          <cell r="X431"/>
          <cell r="Y431" t="str">
            <v>Live</v>
          </cell>
          <cell r="Z431" t="str">
            <v>Comfone</v>
          </cell>
        </row>
        <row r="432">
          <cell r="F432" t="str">
            <v>INDJM</v>
          </cell>
          <cell r="G432" t="str">
            <v>INDPM</v>
          </cell>
          <cell r="H432" t="str">
            <v>405</v>
          </cell>
          <cell r="I432" t="str">
            <v>863</v>
          </cell>
          <cell r="J432" t="str">
            <v>x</v>
          </cell>
          <cell r="K432" t="str">
            <v>YES</v>
          </cell>
          <cell r="L432" t="str">
            <v>N.A</v>
          </cell>
          <cell r="M432" t="str">
            <v>YES</v>
          </cell>
          <cell r="N432" t="str">
            <v>N.A</v>
          </cell>
          <cell r="O432" t="str">
            <v>YES</v>
          </cell>
          <cell r="P432" t="str">
            <v>N.A</v>
          </cell>
          <cell r="Q432" t="str">
            <v>YES</v>
          </cell>
          <cell r="R432" t="str">
            <v>N.A</v>
          </cell>
          <cell r="S432" t="str">
            <v>YES</v>
          </cell>
          <cell r="T432" t="str">
            <v>N.A</v>
          </cell>
          <cell r="U432"/>
          <cell r="V432"/>
          <cell r="W432"/>
          <cell r="X432"/>
          <cell r="Y432" t="str">
            <v>Live</v>
          </cell>
          <cell r="Z432" t="str">
            <v>Comfone</v>
          </cell>
        </row>
        <row r="433">
          <cell r="F433" t="str">
            <v>INDJX</v>
          </cell>
          <cell r="G433" t="str">
            <v>INDPX</v>
          </cell>
          <cell r="H433" t="str">
            <v>405</v>
          </cell>
          <cell r="I433" t="str">
            <v>874</v>
          </cell>
          <cell r="J433" t="str">
            <v>x</v>
          </cell>
          <cell r="K433" t="str">
            <v>YES</v>
          </cell>
          <cell r="L433" t="str">
            <v>N.A</v>
          </cell>
          <cell r="M433" t="str">
            <v>YES</v>
          </cell>
          <cell r="N433" t="str">
            <v>N.A</v>
          </cell>
          <cell r="O433" t="str">
            <v>YES</v>
          </cell>
          <cell r="P433" t="str">
            <v>N.A</v>
          </cell>
          <cell r="Q433" t="str">
            <v>YES</v>
          </cell>
          <cell r="R433" t="str">
            <v>N.A</v>
          </cell>
          <cell r="S433" t="str">
            <v>YES</v>
          </cell>
          <cell r="T433" t="str">
            <v>N.A</v>
          </cell>
          <cell r="U433"/>
          <cell r="V433"/>
          <cell r="W433"/>
          <cell r="X433"/>
          <cell r="Y433" t="str">
            <v>Live</v>
          </cell>
          <cell r="Z433" t="str">
            <v>Comfone</v>
          </cell>
        </row>
        <row r="434">
          <cell r="F434" t="str">
            <v>INDJO</v>
          </cell>
          <cell r="G434" t="str">
            <v>INDPO</v>
          </cell>
          <cell r="H434" t="str">
            <v>405</v>
          </cell>
          <cell r="I434" t="str">
            <v>865</v>
          </cell>
          <cell r="J434" t="str">
            <v>x</v>
          </cell>
          <cell r="K434" t="str">
            <v>YES</v>
          </cell>
          <cell r="L434" t="str">
            <v>N.A</v>
          </cell>
          <cell r="M434" t="str">
            <v>YES</v>
          </cell>
          <cell r="N434" t="str">
            <v>N.A</v>
          </cell>
          <cell r="O434" t="str">
            <v>YES</v>
          </cell>
          <cell r="P434" t="str">
            <v>N.A</v>
          </cell>
          <cell r="Q434" t="str">
            <v>YES</v>
          </cell>
          <cell r="R434" t="str">
            <v>N.A</v>
          </cell>
          <cell r="S434" t="str">
            <v>YES</v>
          </cell>
          <cell r="T434" t="str">
            <v>N.A</v>
          </cell>
          <cell r="U434"/>
          <cell r="V434"/>
          <cell r="W434"/>
          <cell r="X434"/>
          <cell r="Y434" t="str">
            <v>Live</v>
          </cell>
          <cell r="Z434" t="str">
            <v>Comfone</v>
          </cell>
        </row>
        <row r="435">
          <cell r="F435" t="str">
            <v>INDJP</v>
          </cell>
          <cell r="G435" t="str">
            <v>INDPP</v>
          </cell>
          <cell r="H435" t="str">
            <v>405</v>
          </cell>
          <cell r="I435" t="str">
            <v>866</v>
          </cell>
          <cell r="J435" t="str">
            <v>x</v>
          </cell>
          <cell r="K435" t="str">
            <v>YES</v>
          </cell>
          <cell r="L435" t="str">
            <v>N.A</v>
          </cell>
          <cell r="M435" t="str">
            <v>YES</v>
          </cell>
          <cell r="N435" t="str">
            <v>N.A</v>
          </cell>
          <cell r="O435" t="str">
            <v>YES</v>
          </cell>
          <cell r="P435" t="str">
            <v>N.A</v>
          </cell>
          <cell r="Q435" t="str">
            <v>YES</v>
          </cell>
          <cell r="R435" t="str">
            <v>N.A</v>
          </cell>
          <cell r="S435" t="str">
            <v>YES</v>
          </cell>
          <cell r="T435" t="str">
            <v>N.A</v>
          </cell>
          <cell r="U435"/>
          <cell r="V435"/>
          <cell r="W435"/>
          <cell r="X435"/>
          <cell r="Y435" t="str">
            <v>Live</v>
          </cell>
          <cell r="Z435" t="str">
            <v>Comfone</v>
          </cell>
        </row>
        <row r="436">
          <cell r="F436" t="str">
            <v>INDJQ</v>
          </cell>
          <cell r="G436" t="str">
            <v>INDPQ</v>
          </cell>
          <cell r="H436" t="str">
            <v>405</v>
          </cell>
          <cell r="I436" t="str">
            <v>867</v>
          </cell>
          <cell r="J436" t="str">
            <v>x</v>
          </cell>
          <cell r="K436" t="str">
            <v>YES</v>
          </cell>
          <cell r="L436" t="str">
            <v>N.A</v>
          </cell>
          <cell r="M436" t="str">
            <v>YES</v>
          </cell>
          <cell r="N436" t="str">
            <v>N.A</v>
          </cell>
          <cell r="O436" t="str">
            <v>YES</v>
          </cell>
          <cell r="P436" t="str">
            <v>N.A</v>
          </cell>
          <cell r="Q436" t="str">
            <v>YES</v>
          </cell>
          <cell r="R436" t="str">
            <v>N.A</v>
          </cell>
          <cell r="S436" t="str">
            <v>YES</v>
          </cell>
          <cell r="T436" t="str">
            <v>N.A</v>
          </cell>
          <cell r="U436"/>
          <cell r="V436"/>
          <cell r="W436"/>
          <cell r="X436"/>
          <cell r="Y436" t="str">
            <v>Live</v>
          </cell>
          <cell r="Z436" t="str">
            <v>Comfone</v>
          </cell>
        </row>
        <row r="437">
          <cell r="F437" t="str">
            <v>INDJR</v>
          </cell>
          <cell r="G437" t="str">
            <v>INDPR</v>
          </cell>
          <cell r="H437" t="str">
            <v>405</v>
          </cell>
          <cell r="I437" t="str">
            <v>868</v>
          </cell>
          <cell r="J437" t="str">
            <v>x</v>
          </cell>
          <cell r="K437" t="str">
            <v>YES</v>
          </cell>
          <cell r="L437" t="str">
            <v>N.A</v>
          </cell>
          <cell r="M437" t="str">
            <v>YES</v>
          </cell>
          <cell r="N437" t="str">
            <v>N.A</v>
          </cell>
          <cell r="O437" t="str">
            <v>YES</v>
          </cell>
          <cell r="P437" t="str">
            <v>N.A</v>
          </cell>
          <cell r="Q437" t="str">
            <v>YES</v>
          </cell>
          <cell r="R437" t="str">
            <v>N.A</v>
          </cell>
          <cell r="S437" t="str">
            <v>YES</v>
          </cell>
          <cell r="T437" t="str">
            <v>N.A</v>
          </cell>
          <cell r="U437"/>
          <cell r="V437"/>
          <cell r="W437"/>
          <cell r="X437"/>
          <cell r="Y437" t="str">
            <v>Live</v>
          </cell>
          <cell r="Z437" t="str">
            <v>Comfone</v>
          </cell>
        </row>
        <row r="438">
          <cell r="F438" t="str">
            <v>INDJS</v>
          </cell>
          <cell r="G438" t="str">
            <v>INDPS</v>
          </cell>
          <cell r="H438" t="str">
            <v>405</v>
          </cell>
          <cell r="I438" t="str">
            <v>869</v>
          </cell>
          <cell r="J438" t="str">
            <v>x</v>
          </cell>
          <cell r="K438" t="str">
            <v>YES</v>
          </cell>
          <cell r="L438" t="str">
            <v>N.A</v>
          </cell>
          <cell r="M438" t="str">
            <v>YES</v>
          </cell>
          <cell r="N438" t="str">
            <v>N.A</v>
          </cell>
          <cell r="O438" t="str">
            <v>YES</v>
          </cell>
          <cell r="P438" t="str">
            <v>N.A</v>
          </cell>
          <cell r="Q438" t="str">
            <v>YES</v>
          </cell>
          <cell r="R438" t="str">
            <v>N.A</v>
          </cell>
          <cell r="S438" t="str">
            <v>YES</v>
          </cell>
          <cell r="T438" t="str">
            <v>N.A</v>
          </cell>
          <cell r="U438"/>
          <cell r="V438"/>
          <cell r="W438"/>
          <cell r="X438"/>
          <cell r="Y438" t="str">
            <v>Live</v>
          </cell>
          <cell r="Z438" t="str">
            <v>Comfone</v>
          </cell>
        </row>
        <row r="439">
          <cell r="F439" t="str">
            <v>INDJU</v>
          </cell>
          <cell r="G439" t="str">
            <v>INDPU</v>
          </cell>
          <cell r="H439" t="str">
            <v>405</v>
          </cell>
          <cell r="I439" t="str">
            <v>871</v>
          </cell>
          <cell r="J439" t="str">
            <v>x</v>
          </cell>
          <cell r="K439" t="str">
            <v>YES</v>
          </cell>
          <cell r="L439" t="str">
            <v>N.A</v>
          </cell>
          <cell r="M439" t="str">
            <v>YES</v>
          </cell>
          <cell r="N439" t="str">
            <v>N.A</v>
          </cell>
          <cell r="O439" t="str">
            <v>YES</v>
          </cell>
          <cell r="P439" t="str">
            <v>N.A</v>
          </cell>
          <cell r="Q439" t="str">
            <v>YES</v>
          </cell>
          <cell r="R439" t="str">
            <v>N.A</v>
          </cell>
          <cell r="S439" t="str">
            <v>YES</v>
          </cell>
          <cell r="T439" t="str">
            <v>N.A</v>
          </cell>
          <cell r="U439"/>
          <cell r="V439"/>
          <cell r="W439"/>
          <cell r="X439"/>
          <cell r="Y439" t="str">
            <v>Live</v>
          </cell>
          <cell r="Z439" t="str">
            <v>Comfone</v>
          </cell>
        </row>
        <row r="440">
          <cell r="F440" t="str">
            <v>INDJT</v>
          </cell>
          <cell r="G440" t="str">
            <v>INDPT</v>
          </cell>
          <cell r="H440" t="str">
            <v>405</v>
          </cell>
          <cell r="I440" t="str">
            <v>870</v>
          </cell>
          <cell r="J440" t="str">
            <v>x</v>
          </cell>
          <cell r="K440" t="str">
            <v>YES</v>
          </cell>
          <cell r="L440" t="str">
            <v>N.A</v>
          </cell>
          <cell r="M440" t="str">
            <v>YES</v>
          </cell>
          <cell r="N440" t="str">
            <v>N.A</v>
          </cell>
          <cell r="O440" t="str">
            <v>YES</v>
          </cell>
          <cell r="P440" t="str">
            <v>N.A</v>
          </cell>
          <cell r="Q440" t="str">
            <v>YES</v>
          </cell>
          <cell r="R440" t="str">
            <v>N.A</v>
          </cell>
          <cell r="S440" t="str">
            <v>YES</v>
          </cell>
          <cell r="T440" t="str">
            <v>N.A</v>
          </cell>
          <cell r="U440"/>
          <cell r="V440"/>
          <cell r="W440"/>
          <cell r="X440"/>
          <cell r="Y440" t="str">
            <v>Live</v>
          </cell>
          <cell r="Z440" t="str">
            <v>Comfone</v>
          </cell>
        </row>
        <row r="441">
          <cell r="F441" t="str">
            <v>INDJ1</v>
          </cell>
          <cell r="G441" t="str">
            <v>INDP1</v>
          </cell>
          <cell r="H441" t="str">
            <v>405</v>
          </cell>
          <cell r="I441" t="str">
            <v>840</v>
          </cell>
          <cell r="J441" t="str">
            <v>x</v>
          </cell>
          <cell r="K441" t="str">
            <v>YES</v>
          </cell>
          <cell r="L441" t="str">
            <v>N.A</v>
          </cell>
          <cell r="M441" t="str">
            <v>YES</v>
          </cell>
          <cell r="N441" t="str">
            <v>N.A</v>
          </cell>
          <cell r="O441" t="str">
            <v>YES</v>
          </cell>
          <cell r="P441" t="str">
            <v>N.A</v>
          </cell>
          <cell r="Q441" t="str">
            <v>YES</v>
          </cell>
          <cell r="R441" t="str">
            <v>N.A</v>
          </cell>
          <cell r="S441" t="str">
            <v>YES</v>
          </cell>
          <cell r="T441" t="str">
            <v>N.A</v>
          </cell>
          <cell r="U441"/>
          <cell r="V441"/>
          <cell r="W441"/>
          <cell r="X441"/>
          <cell r="Y441" t="str">
            <v>Live</v>
          </cell>
          <cell r="Z441" t="str">
            <v>Comfone</v>
          </cell>
        </row>
        <row r="442">
          <cell r="F442" t="str">
            <v>IRNTT</v>
          </cell>
          <cell r="G442"/>
          <cell r="H442" t="str">
            <v>432</v>
          </cell>
          <cell r="I442" t="str">
            <v>20</v>
          </cell>
          <cell r="J442" t="str">
            <v>x</v>
          </cell>
          <cell r="K442" t="str">
            <v>YES</v>
          </cell>
          <cell r="L442" t="str">
            <v>YES</v>
          </cell>
          <cell r="M442" t="str">
            <v>YES</v>
          </cell>
          <cell r="N442"/>
          <cell r="O442" t="str">
            <v>YES</v>
          </cell>
          <cell r="P442" t="str">
            <v>YES</v>
          </cell>
          <cell r="Q442" t="str">
            <v>YES</v>
          </cell>
          <cell r="R442" t="str">
            <v>YES</v>
          </cell>
          <cell r="S442" t="str">
            <v>YES</v>
          </cell>
          <cell r="T442" t="str">
            <v>YES</v>
          </cell>
          <cell r="U442"/>
          <cell r="V442"/>
          <cell r="W442"/>
          <cell r="X442"/>
          <cell r="Y442" t="str">
            <v>Live</v>
          </cell>
          <cell r="Z442" t="str">
            <v>Bilateral</v>
          </cell>
        </row>
        <row r="443">
          <cell r="F443" t="str">
            <v>BGDAK</v>
          </cell>
          <cell r="G443" t="str">
            <v>BGDK9</v>
          </cell>
          <cell r="H443" t="str">
            <v>470</v>
          </cell>
          <cell r="I443" t="str">
            <v>02</v>
          </cell>
          <cell r="J443" t="str">
            <v>x</v>
          </cell>
          <cell r="K443"/>
          <cell r="L443" t="str">
            <v>YES</v>
          </cell>
          <cell r="M443"/>
          <cell r="N443" t="str">
            <v>YES</v>
          </cell>
          <cell r="O443"/>
          <cell r="P443" t="str">
            <v>YES</v>
          </cell>
          <cell r="Q443"/>
          <cell r="R443" t="str">
            <v>YES</v>
          </cell>
          <cell r="S443"/>
          <cell r="T443" t="str">
            <v>YES</v>
          </cell>
          <cell r="U443"/>
          <cell r="V443"/>
          <cell r="W443"/>
          <cell r="X443"/>
          <cell r="Y443" t="str">
            <v>Live</v>
          </cell>
          <cell r="Z443" t="str">
            <v>Comfone</v>
          </cell>
        </row>
        <row r="444">
          <cell r="F444" t="str">
            <v>CANMC</v>
          </cell>
          <cell r="G444"/>
          <cell r="H444" t="str">
            <v>302</v>
          </cell>
          <cell r="I444" t="str">
            <v>370</v>
          </cell>
          <cell r="J444" t="str">
            <v>x</v>
          </cell>
          <cell r="K444" t="str">
            <v>YES</v>
          </cell>
          <cell r="L444" t="str">
            <v>N.A</v>
          </cell>
          <cell r="M444" t="str">
            <v>YES</v>
          </cell>
          <cell r="N444" t="str">
            <v>N.A</v>
          </cell>
          <cell r="O444" t="str">
            <v>YES</v>
          </cell>
          <cell r="P444" t="str">
            <v>N.A</v>
          </cell>
          <cell r="Q444" t="str">
            <v>YES</v>
          </cell>
          <cell r="R444" t="str">
            <v>N.A</v>
          </cell>
          <cell r="S444" t="str">
            <v>YES</v>
          </cell>
          <cell r="T444" t="str">
            <v>N.A</v>
          </cell>
          <cell r="U444"/>
          <cell r="V444"/>
          <cell r="W444"/>
          <cell r="X444"/>
          <cell r="Y444" t="str">
            <v>Live</v>
          </cell>
          <cell r="Z444" t="str">
            <v>Bilateral</v>
          </cell>
        </row>
        <row r="445">
          <cell r="F445" t="str">
            <v>CANRW</v>
          </cell>
          <cell r="G445"/>
          <cell r="H445" t="str">
            <v>302</v>
          </cell>
          <cell r="I445" t="str">
            <v>720</v>
          </cell>
          <cell r="J445" t="str">
            <v>x</v>
          </cell>
          <cell r="K445" t="str">
            <v>YES</v>
          </cell>
          <cell r="L445" t="str">
            <v>YES</v>
          </cell>
          <cell r="M445" t="str">
            <v>YES</v>
          </cell>
          <cell r="N445" t="str">
            <v>YES</v>
          </cell>
          <cell r="O445" t="str">
            <v>YES</v>
          </cell>
          <cell r="P445" t="str">
            <v>YES</v>
          </cell>
          <cell r="Q445" t="str">
            <v>YES</v>
          </cell>
          <cell r="R445" t="str">
            <v>YES</v>
          </cell>
          <cell r="S445" t="str">
            <v>YES</v>
          </cell>
          <cell r="T445" t="str">
            <v>YES</v>
          </cell>
          <cell r="U445"/>
          <cell r="V445"/>
          <cell r="W445"/>
          <cell r="X445"/>
          <cell r="Y445" t="str">
            <v>Live</v>
          </cell>
          <cell r="Z445" t="str">
            <v>Bilateral</v>
          </cell>
        </row>
        <row r="446">
          <cell r="F446" t="str">
            <v>KENSA</v>
          </cell>
          <cell r="G446" t="str">
            <v>KENK8</v>
          </cell>
          <cell r="H446" t="str">
            <v>639</v>
          </cell>
          <cell r="I446" t="str">
            <v>02</v>
          </cell>
          <cell r="J446" t="str">
            <v>x</v>
          </cell>
          <cell r="K446" t="str">
            <v>YES</v>
          </cell>
          <cell r="L446" t="str">
            <v>YES</v>
          </cell>
          <cell r="M446" t="str">
            <v>YES</v>
          </cell>
          <cell r="N446" t="str">
            <v>YES</v>
          </cell>
          <cell r="O446" t="str">
            <v>YES</v>
          </cell>
          <cell r="P446" t="str">
            <v>YES</v>
          </cell>
          <cell r="Q446" t="str">
            <v>YES</v>
          </cell>
          <cell r="R446" t="str">
            <v>YES</v>
          </cell>
          <cell r="S446" t="str">
            <v>YES</v>
          </cell>
          <cell r="T446" t="str">
            <v>YES</v>
          </cell>
          <cell r="U446"/>
          <cell r="V446"/>
          <cell r="W446"/>
          <cell r="X446"/>
          <cell r="Y446" t="str">
            <v>Live</v>
          </cell>
          <cell r="Z446" t="str">
            <v>Comfone</v>
          </cell>
        </row>
        <row r="447">
          <cell r="F447" t="str">
            <v>LIEVE</v>
          </cell>
          <cell r="G447" t="str">
            <v>LIEFT</v>
          </cell>
          <cell r="H447" t="str">
            <v>295</v>
          </cell>
          <cell r="I447" t="str">
            <v>02</v>
          </cell>
          <cell r="J447" t="str">
            <v>x</v>
          </cell>
          <cell r="K447" t="str">
            <v>YES</v>
          </cell>
          <cell r="L447" t="str">
            <v>YES</v>
          </cell>
          <cell r="M447" t="str">
            <v>N.A</v>
          </cell>
          <cell r="N447" t="str">
            <v>YES</v>
          </cell>
          <cell r="O447" t="str">
            <v>YES</v>
          </cell>
          <cell r="P447" t="str">
            <v>YES</v>
          </cell>
          <cell r="Q447" t="str">
            <v>YES</v>
          </cell>
          <cell r="R447" t="str">
            <v>YES</v>
          </cell>
          <cell r="S447"/>
          <cell r="T447"/>
          <cell r="U447"/>
          <cell r="V447"/>
          <cell r="W447"/>
          <cell r="X447"/>
          <cell r="Y447" t="str">
            <v>Live</v>
          </cell>
          <cell r="Z447" t="str">
            <v>Orange Hub</v>
          </cell>
        </row>
        <row r="448">
          <cell r="F448" t="str">
            <v>CHEOR</v>
          </cell>
          <cell r="G448" t="str">
            <v>CHEFT</v>
          </cell>
          <cell r="H448" t="str">
            <v>228</v>
          </cell>
          <cell r="I448" t="str">
            <v>03</v>
          </cell>
          <cell r="J448" t="str">
            <v>x</v>
          </cell>
          <cell r="K448" t="str">
            <v>YES</v>
          </cell>
          <cell r="L448" t="str">
            <v>YES</v>
          </cell>
          <cell r="M448" t="str">
            <v>YES</v>
          </cell>
          <cell r="N448" t="str">
            <v>YES</v>
          </cell>
          <cell r="O448" t="str">
            <v>YES</v>
          </cell>
          <cell r="P448" t="str">
            <v>YES</v>
          </cell>
          <cell r="Q448" t="str">
            <v>YES</v>
          </cell>
          <cell r="R448" t="str">
            <v>YES</v>
          </cell>
          <cell r="S448" t="str">
            <v>YES</v>
          </cell>
          <cell r="T448" t="str">
            <v>YES</v>
          </cell>
          <cell r="U448"/>
          <cell r="V448"/>
          <cell r="W448"/>
          <cell r="X448"/>
          <cell r="Y448" t="str">
            <v>Live</v>
          </cell>
          <cell r="Z448" t="str">
            <v>Orange Hub</v>
          </cell>
        </row>
        <row r="449">
          <cell r="F449" t="str">
            <v>CANST</v>
          </cell>
          <cell r="G449" t="str">
            <v>CANOR</v>
          </cell>
          <cell r="H449" t="str">
            <v>302</v>
          </cell>
          <cell r="I449" t="str">
            <v>780</v>
          </cell>
          <cell r="J449" t="str">
            <v>x</v>
          </cell>
          <cell r="K449" t="str">
            <v>YES</v>
          </cell>
          <cell r="L449" t="str">
            <v>YES</v>
          </cell>
          <cell r="M449" t="str">
            <v>YES</v>
          </cell>
          <cell r="N449" t="str">
            <v>YES</v>
          </cell>
          <cell r="O449" t="str">
            <v>YES</v>
          </cell>
          <cell r="P449"/>
          <cell r="Q449" t="str">
            <v>YES</v>
          </cell>
          <cell r="R449" t="str">
            <v>YES</v>
          </cell>
          <cell r="S449" t="str">
            <v>YES</v>
          </cell>
          <cell r="T449" t="str">
            <v>YES</v>
          </cell>
          <cell r="U449"/>
          <cell r="V449"/>
          <cell r="W449"/>
          <cell r="X449"/>
          <cell r="Y449" t="str">
            <v>Live</v>
          </cell>
          <cell r="Z449" t="str">
            <v>Orange Hub</v>
          </cell>
        </row>
        <row r="450">
          <cell r="F450" t="str">
            <v>HNDME</v>
          </cell>
          <cell r="G450" t="str">
            <v>HNDK8</v>
          </cell>
          <cell r="H450" t="str">
            <v>708</v>
          </cell>
          <cell r="I450" t="str">
            <v>001</v>
          </cell>
          <cell r="J450" t="str">
            <v>x</v>
          </cell>
          <cell r="K450" t="str">
            <v>YES</v>
          </cell>
          <cell r="L450" t="str">
            <v>YES</v>
          </cell>
          <cell r="M450"/>
          <cell r="N450" t="str">
            <v>YES</v>
          </cell>
          <cell r="O450" t="str">
            <v>YES</v>
          </cell>
          <cell r="P450" t="str">
            <v>YES</v>
          </cell>
          <cell r="Q450" t="str">
            <v>YES</v>
          </cell>
          <cell r="R450" t="str">
            <v>YES</v>
          </cell>
          <cell r="S450"/>
          <cell r="T450"/>
          <cell r="U450"/>
          <cell r="V450"/>
          <cell r="W450"/>
          <cell r="X450"/>
          <cell r="Y450" t="str">
            <v>Live</v>
          </cell>
          <cell r="Z450" t="str">
            <v>Comfone</v>
          </cell>
        </row>
        <row r="451">
          <cell r="F451" t="str">
            <v>ABWSE</v>
          </cell>
          <cell r="G451" t="str">
            <v>ABWK9</v>
          </cell>
          <cell r="H451" t="str">
            <v>363</v>
          </cell>
          <cell r="I451" t="str">
            <v>01</v>
          </cell>
          <cell r="J451" t="str">
            <v>x</v>
          </cell>
          <cell r="K451" t="str">
            <v>YES</v>
          </cell>
          <cell r="L451" t="str">
            <v>YES</v>
          </cell>
          <cell r="M451" t="str">
            <v>N.A</v>
          </cell>
          <cell r="N451"/>
          <cell r="O451" t="str">
            <v>YES</v>
          </cell>
          <cell r="P451" t="str">
            <v>YES</v>
          </cell>
          <cell r="Q451" t="str">
            <v>YES</v>
          </cell>
          <cell r="R451" t="str">
            <v>YES</v>
          </cell>
          <cell r="S451"/>
          <cell r="T451"/>
          <cell r="U451"/>
          <cell r="V451"/>
          <cell r="W451"/>
          <cell r="X451"/>
          <cell r="Y451" t="str">
            <v>Live</v>
          </cell>
          <cell r="Z451" t="str">
            <v>Comfone</v>
          </cell>
        </row>
        <row r="452">
          <cell r="F452" t="str">
            <v>ANTUT</v>
          </cell>
          <cell r="G452" t="str">
            <v>ANTK8</v>
          </cell>
          <cell r="H452" t="str">
            <v>362</v>
          </cell>
          <cell r="I452" t="str">
            <v>91</v>
          </cell>
          <cell r="J452" t="str">
            <v>x</v>
          </cell>
          <cell r="K452" t="str">
            <v>YES</v>
          </cell>
          <cell r="L452" t="str">
            <v>YES</v>
          </cell>
          <cell r="M452" t="str">
            <v>YES</v>
          </cell>
          <cell r="N452" t="str">
            <v>YES</v>
          </cell>
          <cell r="O452" t="str">
            <v>YES</v>
          </cell>
          <cell r="P452" t="str">
            <v>YES</v>
          </cell>
          <cell r="Q452" t="str">
            <v>YES</v>
          </cell>
          <cell r="R452" t="str">
            <v>YES</v>
          </cell>
          <cell r="S452" t="str">
            <v>YES</v>
          </cell>
          <cell r="T452" t="str">
            <v>YES</v>
          </cell>
          <cell r="U452"/>
          <cell r="V452"/>
          <cell r="W452"/>
          <cell r="X452"/>
          <cell r="Y452" t="str">
            <v>Live</v>
          </cell>
          <cell r="Z452" t="str">
            <v>Comfone</v>
          </cell>
        </row>
        <row r="453">
          <cell r="F453" t="str">
            <v>FRAF2</v>
          </cell>
          <cell r="G453"/>
          <cell r="H453" t="str">
            <v>208</v>
          </cell>
          <cell r="I453" t="str">
            <v>10</v>
          </cell>
          <cell r="J453" t="str">
            <v>x</v>
          </cell>
          <cell r="K453" t="str">
            <v>YES</v>
          </cell>
          <cell r="L453" t="str">
            <v>YES</v>
          </cell>
          <cell r="M453" t="str">
            <v>YES</v>
          </cell>
          <cell r="N453" t="str">
            <v>YES</v>
          </cell>
          <cell r="O453" t="str">
            <v>YES</v>
          </cell>
          <cell r="P453" t="str">
            <v>YES</v>
          </cell>
          <cell r="Q453" t="str">
            <v>YES</v>
          </cell>
          <cell r="R453" t="str">
            <v>YES</v>
          </cell>
          <cell r="S453" t="str">
            <v>YES</v>
          </cell>
          <cell r="T453" t="str">
            <v>YES</v>
          </cell>
          <cell r="U453"/>
          <cell r="V453"/>
          <cell r="W453"/>
          <cell r="X453"/>
          <cell r="Y453" t="str">
            <v>Live</v>
          </cell>
          <cell r="Z453" t="str">
            <v>Bilateral</v>
          </cell>
        </row>
        <row r="454">
          <cell r="F454" t="str">
            <v>FRA09</v>
          </cell>
          <cell r="G454"/>
          <cell r="H454" t="str">
            <v>208</v>
          </cell>
          <cell r="I454" t="str">
            <v>09</v>
          </cell>
          <cell r="J454" t="str">
            <v>x</v>
          </cell>
          <cell r="K454" t="str">
            <v>YES</v>
          </cell>
          <cell r="L454" t="str">
            <v>N.A</v>
          </cell>
          <cell r="M454" t="str">
            <v>YES</v>
          </cell>
          <cell r="N454" t="str">
            <v>N.A</v>
          </cell>
          <cell r="O454" t="str">
            <v>YES</v>
          </cell>
          <cell r="P454" t="str">
            <v>N.A</v>
          </cell>
          <cell r="Q454" t="str">
            <v>YES</v>
          </cell>
          <cell r="R454" t="str">
            <v>N.A</v>
          </cell>
          <cell r="S454" t="str">
            <v>YES</v>
          </cell>
          <cell r="T454" t="str">
            <v>N.A</v>
          </cell>
          <cell r="U454"/>
          <cell r="V454"/>
          <cell r="W454"/>
          <cell r="X454"/>
          <cell r="Y454" t="str">
            <v>Live</v>
          </cell>
          <cell r="Z454" t="str">
            <v>Bilateral</v>
          </cell>
        </row>
        <row r="455">
          <cell r="F455" t="str">
            <v>LVABT</v>
          </cell>
          <cell r="G455" t="str">
            <v>LVAK9</v>
          </cell>
          <cell r="H455" t="str">
            <v>247</v>
          </cell>
          <cell r="I455" t="str">
            <v>05</v>
          </cell>
          <cell r="J455" t="str">
            <v>x</v>
          </cell>
          <cell r="K455" t="str">
            <v>YES</v>
          </cell>
          <cell r="L455" t="str">
            <v>YES</v>
          </cell>
          <cell r="M455" t="str">
            <v>YES</v>
          </cell>
          <cell r="N455" t="str">
            <v>YES</v>
          </cell>
          <cell r="O455" t="str">
            <v>YES</v>
          </cell>
          <cell r="P455" t="str">
            <v>YES</v>
          </cell>
          <cell r="Q455" t="str">
            <v>YES</v>
          </cell>
          <cell r="R455" t="str">
            <v>YES</v>
          </cell>
          <cell r="S455" t="str">
            <v>YES</v>
          </cell>
          <cell r="T455" t="str">
            <v>YES</v>
          </cell>
          <cell r="U455"/>
          <cell r="V455"/>
          <cell r="W455"/>
          <cell r="X455"/>
          <cell r="Y455" t="str">
            <v>Live</v>
          </cell>
          <cell r="Z455" t="str">
            <v>Comfone</v>
          </cell>
        </row>
        <row r="456">
          <cell r="F456" t="str">
            <v>ISLPS</v>
          </cell>
          <cell r="G456" t="str">
            <v>ISLK7</v>
          </cell>
          <cell r="H456" t="str">
            <v>274</v>
          </cell>
          <cell r="I456" t="str">
            <v>01</v>
          </cell>
          <cell r="J456" t="str">
            <v>x</v>
          </cell>
          <cell r="K456" t="str">
            <v>YES</v>
          </cell>
          <cell r="L456" t="str">
            <v>YES</v>
          </cell>
          <cell r="M456" t="str">
            <v>N.A</v>
          </cell>
          <cell r="N456" t="str">
            <v>YES</v>
          </cell>
          <cell r="O456" t="str">
            <v>YES</v>
          </cell>
          <cell r="P456" t="str">
            <v>YES</v>
          </cell>
          <cell r="Q456" t="str">
            <v>YES</v>
          </cell>
          <cell r="R456" t="str">
            <v>YES</v>
          </cell>
          <cell r="S456" t="str">
            <v>YES</v>
          </cell>
          <cell r="T456" t="str">
            <v>YES</v>
          </cell>
          <cell r="U456"/>
          <cell r="V456"/>
          <cell r="W456"/>
          <cell r="X456"/>
          <cell r="Y456" t="str">
            <v>Live</v>
          </cell>
          <cell r="Z456" t="str">
            <v>Comfone</v>
          </cell>
        </row>
        <row r="457">
          <cell r="F457" t="str">
            <v>ISLTA</v>
          </cell>
          <cell r="G457" t="str">
            <v>ISLK6</v>
          </cell>
          <cell r="H457" t="str">
            <v>274</v>
          </cell>
          <cell r="I457" t="str">
            <v>12</v>
          </cell>
          <cell r="J457" t="str">
            <v>x</v>
          </cell>
          <cell r="K457" t="str">
            <v>YES</v>
          </cell>
          <cell r="L457" t="str">
            <v>N.A</v>
          </cell>
          <cell r="M457" t="str">
            <v>N.A</v>
          </cell>
          <cell r="N457" t="str">
            <v>N.A</v>
          </cell>
          <cell r="O457" t="str">
            <v>YES</v>
          </cell>
          <cell r="P457" t="str">
            <v>N.A</v>
          </cell>
          <cell r="Q457" t="str">
            <v>YES</v>
          </cell>
          <cell r="R457" t="str">
            <v>N.A</v>
          </cell>
          <cell r="S457" t="str">
            <v>YES</v>
          </cell>
          <cell r="T457" t="str">
            <v>N.A</v>
          </cell>
          <cell r="U457"/>
          <cell r="V457"/>
          <cell r="W457"/>
          <cell r="X457"/>
          <cell r="Y457" t="str">
            <v>Live</v>
          </cell>
          <cell r="Z457" t="str">
            <v>Comfone</v>
          </cell>
        </row>
        <row r="458">
          <cell r="F458" t="str">
            <v>CHEOA</v>
          </cell>
          <cell r="G458"/>
          <cell r="H458" t="str">
            <v>901</v>
          </cell>
          <cell r="I458" t="str">
            <v>15</v>
          </cell>
          <cell r="J458" t="str">
            <v>x</v>
          </cell>
          <cell r="K458" t="str">
            <v>N.A</v>
          </cell>
          <cell r="L458" t="str">
            <v>YES</v>
          </cell>
          <cell r="M458" t="str">
            <v>N.A</v>
          </cell>
          <cell r="N458" t="str">
            <v>YES</v>
          </cell>
          <cell r="O458" t="str">
            <v>N.A</v>
          </cell>
          <cell r="P458" t="str">
            <v>YES</v>
          </cell>
          <cell r="Q458" t="str">
            <v>N.A</v>
          </cell>
          <cell r="R458"/>
          <cell r="S458" t="str">
            <v>N.A</v>
          </cell>
          <cell r="T458"/>
          <cell r="U458"/>
          <cell r="V458"/>
          <cell r="W458"/>
          <cell r="X458"/>
          <cell r="Y458" t="str">
            <v>Live</v>
          </cell>
          <cell r="Z458" t="str">
            <v>Bilateral</v>
          </cell>
        </row>
        <row r="459">
          <cell r="F459" t="str">
            <v>KORSK</v>
          </cell>
          <cell r="G459"/>
          <cell r="H459" t="str">
            <v>450</v>
          </cell>
          <cell r="I459" t="str">
            <v>05</v>
          </cell>
          <cell r="J459" t="str">
            <v>x</v>
          </cell>
          <cell r="K459" t="str">
            <v>YES</v>
          </cell>
          <cell r="L459" t="str">
            <v>Arrêté</v>
          </cell>
          <cell r="M459" t="str">
            <v>N.A</v>
          </cell>
          <cell r="N459" t="str">
            <v>YES</v>
          </cell>
          <cell r="O459" t="str">
            <v>YES</v>
          </cell>
          <cell r="P459" t="str">
            <v>YES</v>
          </cell>
          <cell r="Q459" t="str">
            <v>YES</v>
          </cell>
          <cell r="R459" t="str">
            <v>YES</v>
          </cell>
          <cell r="S459" t="str">
            <v>YES</v>
          </cell>
          <cell r="T459" t="str">
            <v>YES</v>
          </cell>
          <cell r="U459"/>
          <cell r="V459"/>
          <cell r="W459"/>
          <cell r="X459"/>
          <cell r="Y459" t="str">
            <v>Live</v>
          </cell>
          <cell r="Z459" t="str">
            <v>Bilateral</v>
          </cell>
        </row>
        <row r="460">
          <cell r="F460" t="str">
            <v>KGZ01</v>
          </cell>
          <cell r="G460"/>
          <cell r="H460" t="str">
            <v>437</v>
          </cell>
          <cell r="I460" t="str">
            <v>01</v>
          </cell>
          <cell r="J460" t="str">
            <v>x</v>
          </cell>
          <cell r="K460" t="str">
            <v>YES</v>
          </cell>
          <cell r="L460" t="str">
            <v>YES</v>
          </cell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 t="str">
            <v>Live</v>
          </cell>
          <cell r="Z460" t="str">
            <v>Bilateral</v>
          </cell>
        </row>
        <row r="461">
          <cell r="F461" t="str">
            <v>GBRKY</v>
          </cell>
          <cell r="G461" t="str">
            <v xml:space="preserve">GBRK4 </v>
          </cell>
          <cell r="H461" t="str">
            <v>234</v>
          </cell>
          <cell r="I461" t="str">
            <v>57</v>
          </cell>
          <cell r="J461" t="str">
            <v>x</v>
          </cell>
          <cell r="K461" t="str">
            <v>YES</v>
          </cell>
          <cell r="L461" t="str">
            <v>N.A</v>
          </cell>
          <cell r="M461" t="str">
            <v>YES</v>
          </cell>
          <cell r="N461" t="str">
            <v>N.A</v>
          </cell>
          <cell r="O461" t="str">
            <v>YES</v>
          </cell>
          <cell r="P461" t="str">
            <v>N.A</v>
          </cell>
          <cell r="Q461" t="str">
            <v>YES</v>
          </cell>
          <cell r="R461" t="str">
            <v>N.A</v>
          </cell>
          <cell r="S461" t="str">
            <v>YES</v>
          </cell>
          <cell r="T461" t="str">
            <v>N.A</v>
          </cell>
          <cell r="U461"/>
          <cell r="V461"/>
          <cell r="W461"/>
          <cell r="X461"/>
          <cell r="Y461" t="str">
            <v>Live</v>
          </cell>
          <cell r="Z461" t="str">
            <v>Comfone</v>
          </cell>
        </row>
        <row r="462">
          <cell r="F462" t="str">
            <v>KHML1</v>
          </cell>
          <cell r="G462" t="str">
            <v>KHMF1</v>
          </cell>
          <cell r="H462" t="str">
            <v>456</v>
          </cell>
          <cell r="I462" t="str">
            <v>06</v>
          </cell>
          <cell r="J462" t="str">
            <v>x</v>
          </cell>
          <cell r="K462" t="str">
            <v>YES</v>
          </cell>
          <cell r="L462" t="str">
            <v>YES</v>
          </cell>
          <cell r="M462" t="str">
            <v>YES</v>
          </cell>
          <cell r="N462" t="str">
            <v>YES</v>
          </cell>
          <cell r="O462" t="str">
            <v>YES</v>
          </cell>
          <cell r="P462" t="str">
            <v>Arrêté</v>
          </cell>
          <cell r="Q462" t="str">
            <v>YES</v>
          </cell>
          <cell r="R462" t="str">
            <v>Arrêté</v>
          </cell>
          <cell r="S462" t="str">
            <v>Planned</v>
          </cell>
          <cell r="T462"/>
          <cell r="U462"/>
          <cell r="V462"/>
          <cell r="W462"/>
          <cell r="X462"/>
          <cell r="Y462" t="str">
            <v>Live</v>
          </cell>
          <cell r="Z462" t="str">
            <v>Orange Hub</v>
          </cell>
        </row>
        <row r="463">
          <cell r="F463" t="str">
            <v>KHMSM</v>
          </cell>
          <cell r="G463" t="str">
            <v>KHMFO</v>
          </cell>
          <cell r="H463" t="str">
            <v>456</v>
          </cell>
          <cell r="I463" t="str">
            <v>02</v>
          </cell>
          <cell r="J463" t="str">
            <v>x</v>
          </cell>
          <cell r="K463" t="str">
            <v>YES</v>
          </cell>
          <cell r="L463" t="str">
            <v>YES</v>
          </cell>
          <cell r="M463" t="str">
            <v>YES</v>
          </cell>
          <cell r="N463" t="str">
            <v>YES</v>
          </cell>
          <cell r="O463" t="str">
            <v>YES</v>
          </cell>
          <cell r="P463" t="str">
            <v>Arrêté</v>
          </cell>
          <cell r="Q463" t="str">
            <v>YES</v>
          </cell>
          <cell r="R463" t="str">
            <v>Arrêté</v>
          </cell>
          <cell r="S463" t="str">
            <v>YES</v>
          </cell>
          <cell r="T463" t="str">
            <v>YES</v>
          </cell>
          <cell r="U463"/>
          <cell r="V463"/>
          <cell r="W463"/>
          <cell r="X463"/>
          <cell r="Y463" t="str">
            <v>Live</v>
          </cell>
          <cell r="Z463" t="str">
            <v>Orange Hub</v>
          </cell>
        </row>
        <row r="464">
          <cell r="F464" t="str">
            <v>PHLSR</v>
          </cell>
          <cell r="G464" t="str">
            <v>PHLK6</v>
          </cell>
          <cell r="H464" t="str">
            <v>515</v>
          </cell>
          <cell r="I464" t="str">
            <v>03</v>
          </cell>
          <cell r="J464" t="str">
            <v>x</v>
          </cell>
          <cell r="K464" t="str">
            <v>YES</v>
          </cell>
          <cell r="L464" t="str">
            <v>YES</v>
          </cell>
          <cell r="M464"/>
          <cell r="N464" t="str">
            <v>YES</v>
          </cell>
          <cell r="O464" t="str">
            <v>YES</v>
          </cell>
          <cell r="P464" t="str">
            <v>YES</v>
          </cell>
          <cell r="Q464" t="str">
            <v>YES</v>
          </cell>
          <cell r="R464" t="str">
            <v>YES</v>
          </cell>
          <cell r="S464" t="str">
            <v>YES</v>
          </cell>
          <cell r="T464" t="str">
            <v>YES</v>
          </cell>
          <cell r="U464"/>
          <cell r="V464"/>
          <cell r="W464"/>
          <cell r="X464"/>
          <cell r="Y464" t="str">
            <v>Live</v>
          </cell>
          <cell r="Z464" t="str">
            <v>Comfone</v>
          </cell>
        </row>
        <row r="465">
          <cell r="F465" t="str">
            <v>HKGSM</v>
          </cell>
          <cell r="G465"/>
          <cell r="H465" t="str">
            <v>454</v>
          </cell>
          <cell r="I465" t="str">
            <v>06</v>
          </cell>
          <cell r="J465" t="str">
            <v>x</v>
          </cell>
          <cell r="K465" t="str">
            <v>YES</v>
          </cell>
          <cell r="L465" t="str">
            <v>YES</v>
          </cell>
          <cell r="M465" t="str">
            <v>N.A</v>
          </cell>
          <cell r="N465"/>
          <cell r="O465" t="str">
            <v>YES</v>
          </cell>
          <cell r="P465" t="str">
            <v>YES</v>
          </cell>
          <cell r="Q465" t="str">
            <v>YES</v>
          </cell>
          <cell r="R465" t="str">
            <v>YES</v>
          </cell>
          <cell r="S465" t="str">
            <v>YES</v>
          </cell>
          <cell r="T465" t="str">
            <v>YES</v>
          </cell>
          <cell r="U465"/>
          <cell r="V465"/>
          <cell r="W465"/>
          <cell r="X465"/>
          <cell r="Y465" t="str">
            <v>Live</v>
          </cell>
          <cell r="Z465" t="str">
            <v>Bilateral</v>
          </cell>
        </row>
        <row r="466">
          <cell r="F466" t="str">
            <v>MACSM</v>
          </cell>
          <cell r="G466" t="str">
            <v>MACK9</v>
          </cell>
          <cell r="H466" t="str">
            <v>455</v>
          </cell>
          <cell r="I466" t="str">
            <v>00</v>
          </cell>
          <cell r="J466" t="str">
            <v>x</v>
          </cell>
          <cell r="K466"/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 t="str">
            <v>Terminated</v>
          </cell>
          <cell r="Z466" t="str">
            <v>Comfone</v>
          </cell>
        </row>
        <row r="467">
          <cell r="F467" t="str">
            <v>JPNJP</v>
          </cell>
          <cell r="G467"/>
          <cell r="H467" t="str">
            <v>440</v>
          </cell>
          <cell r="I467" t="str">
            <v>20</v>
          </cell>
          <cell r="J467" t="str">
            <v>x</v>
          </cell>
          <cell r="K467" t="str">
            <v>YES</v>
          </cell>
          <cell r="L467" t="str">
            <v>YES</v>
          </cell>
          <cell r="M467" t="str">
            <v>N.A</v>
          </cell>
          <cell r="N467" t="str">
            <v>YES</v>
          </cell>
          <cell r="O467" t="str">
            <v>YES</v>
          </cell>
          <cell r="P467" t="str">
            <v>YES</v>
          </cell>
          <cell r="Q467" t="str">
            <v>YES</v>
          </cell>
          <cell r="R467" t="str">
            <v>YES</v>
          </cell>
          <cell r="S467" t="str">
            <v>YES</v>
          </cell>
          <cell r="T467" t="str">
            <v>YES</v>
          </cell>
          <cell r="U467"/>
          <cell r="V467"/>
          <cell r="W467"/>
          <cell r="X467"/>
          <cell r="Y467" t="str">
            <v>Live</v>
          </cell>
          <cell r="Z467" t="str">
            <v>Bilateral</v>
          </cell>
        </row>
        <row r="468">
          <cell r="F468" t="str">
            <v>SLBSI</v>
          </cell>
          <cell r="G468" t="str">
            <v>SLBK9</v>
          </cell>
          <cell r="H468" t="str">
            <v>540</v>
          </cell>
          <cell r="I468" t="str">
            <v>01</v>
          </cell>
          <cell r="J468" t="str">
            <v>x</v>
          </cell>
          <cell r="K468" t="str">
            <v>YES</v>
          </cell>
          <cell r="L468" t="str">
            <v>YES</v>
          </cell>
          <cell r="M468"/>
          <cell r="N468" t="str">
            <v>YES</v>
          </cell>
          <cell r="O468" t="str">
            <v>YES</v>
          </cell>
          <cell r="P468" t="str">
            <v>YES</v>
          </cell>
          <cell r="Q468" t="str">
            <v>YES</v>
          </cell>
          <cell r="R468" t="str">
            <v>YES</v>
          </cell>
          <cell r="S468"/>
          <cell r="T468"/>
          <cell r="U468"/>
          <cell r="V468"/>
          <cell r="W468"/>
          <cell r="X468"/>
          <cell r="Y468" t="str">
            <v>Live</v>
          </cell>
          <cell r="Z468" t="str">
            <v>Comfone</v>
          </cell>
        </row>
        <row r="469">
          <cell r="F469" t="str">
            <v>SENAZ</v>
          </cell>
          <cell r="G469" t="str">
            <v>SENFT</v>
          </cell>
          <cell r="H469" t="str">
            <v>608</v>
          </cell>
          <cell r="I469" t="str">
            <v>01</v>
          </cell>
          <cell r="J469" t="str">
            <v>x</v>
          </cell>
          <cell r="K469" t="str">
            <v>YES</v>
          </cell>
          <cell r="L469" t="str">
            <v>YES</v>
          </cell>
          <cell r="M469" t="str">
            <v>YES</v>
          </cell>
          <cell r="N469" t="str">
            <v>YES</v>
          </cell>
          <cell r="O469" t="str">
            <v>YES</v>
          </cell>
          <cell r="P469" t="str">
            <v>YES</v>
          </cell>
          <cell r="Q469" t="str">
            <v>YES</v>
          </cell>
          <cell r="R469" t="str">
            <v>YES</v>
          </cell>
          <cell r="S469" t="str">
            <v>YES</v>
          </cell>
          <cell r="T469" t="str">
            <v>YES</v>
          </cell>
          <cell r="U469"/>
          <cell r="V469"/>
          <cell r="W469"/>
          <cell r="X469"/>
          <cell r="Y469" t="str">
            <v>Live</v>
          </cell>
          <cell r="Z469" t="str">
            <v>Orange Hub</v>
          </cell>
        </row>
        <row r="470">
          <cell r="F470" t="str">
            <v>NZLTM</v>
          </cell>
          <cell r="G470" t="str">
            <v>NZLK8</v>
          </cell>
          <cell r="H470" t="str">
            <v>530</v>
          </cell>
          <cell r="I470" t="str">
            <v>05</v>
          </cell>
          <cell r="J470" t="str">
            <v>x</v>
          </cell>
          <cell r="K470" t="str">
            <v>YES</v>
          </cell>
          <cell r="L470" t="str">
            <v>Arrêté</v>
          </cell>
          <cell r="M470" t="str">
            <v>YES</v>
          </cell>
          <cell r="N470" t="str">
            <v>YES</v>
          </cell>
          <cell r="O470" t="str">
            <v>YES</v>
          </cell>
          <cell r="P470" t="str">
            <v>YES</v>
          </cell>
          <cell r="Q470" t="str">
            <v>YES</v>
          </cell>
          <cell r="R470" t="str">
            <v>YES</v>
          </cell>
          <cell r="S470" t="str">
            <v>YES</v>
          </cell>
          <cell r="T470" t="str">
            <v>YES</v>
          </cell>
          <cell r="U470"/>
          <cell r="V470"/>
          <cell r="W470"/>
          <cell r="X470"/>
          <cell r="Y470" t="str">
            <v>Live</v>
          </cell>
          <cell r="Z470" t="str">
            <v>Comfone</v>
          </cell>
        </row>
        <row r="471">
          <cell r="F471" t="str">
            <v>BLZSC</v>
          </cell>
          <cell r="G471"/>
          <cell r="H471" t="str">
            <v>702</v>
          </cell>
          <cell r="I471" t="str">
            <v>69</v>
          </cell>
          <cell r="J471" t="str">
            <v>x</v>
          </cell>
          <cell r="K471" t="str">
            <v>YES</v>
          </cell>
          <cell r="L471" t="str">
            <v>YES</v>
          </cell>
          <cell r="M471" t="str">
            <v>YES</v>
          </cell>
          <cell r="N471" t="str">
            <v>YES</v>
          </cell>
          <cell r="O471" t="str">
            <v>YES</v>
          </cell>
          <cell r="P471" t="str">
            <v>YES</v>
          </cell>
          <cell r="Q471" t="str">
            <v>YES</v>
          </cell>
          <cell r="R471" t="str">
            <v>YES</v>
          </cell>
          <cell r="S471" t="str">
            <v>YES</v>
          </cell>
          <cell r="T471" t="str">
            <v>YES</v>
          </cell>
          <cell r="U471"/>
          <cell r="V471"/>
          <cell r="W471"/>
          <cell r="X471"/>
          <cell r="Y471" t="str">
            <v>Live</v>
          </cell>
          <cell r="Z471" t="str">
            <v>Bilateral</v>
          </cell>
        </row>
        <row r="472">
          <cell r="F472" t="str">
            <v>RUS4R</v>
          </cell>
          <cell r="G472" t="str">
            <v>RUSK2</v>
          </cell>
          <cell r="H472">
            <v>250</v>
          </cell>
          <cell r="I472">
            <v>43</v>
          </cell>
          <cell r="J472" t="str">
            <v>x</v>
          </cell>
          <cell r="K472" t="str">
            <v>YES</v>
          </cell>
          <cell r="L472"/>
          <cell r="M472"/>
          <cell r="N472"/>
          <cell r="O472" t="str">
            <v>YES</v>
          </cell>
          <cell r="P472"/>
          <cell r="Q472" t="str">
            <v>YES</v>
          </cell>
          <cell r="R472"/>
          <cell r="S472"/>
          <cell r="T472"/>
          <cell r="U472"/>
          <cell r="V472"/>
          <cell r="W472"/>
          <cell r="X472"/>
          <cell r="Y472" t="str">
            <v>Live</v>
          </cell>
          <cell r="Z472" t="str">
            <v>Comfone</v>
          </cell>
        </row>
        <row r="473">
          <cell r="F473" t="str">
            <v>LAOAS</v>
          </cell>
          <cell r="G473" t="str">
            <v>LAOK9</v>
          </cell>
          <cell r="H473" t="str">
            <v>457</v>
          </cell>
          <cell r="I473" t="str">
            <v>03</v>
          </cell>
          <cell r="J473" t="str">
            <v>x</v>
          </cell>
          <cell r="K473"/>
          <cell r="L473" t="str">
            <v>YES</v>
          </cell>
          <cell r="M473"/>
          <cell r="N473" t="str">
            <v>YES</v>
          </cell>
          <cell r="O473"/>
          <cell r="P473" t="str">
            <v>YES</v>
          </cell>
          <cell r="Q473"/>
          <cell r="R473" t="str">
            <v>YES</v>
          </cell>
          <cell r="S473"/>
          <cell r="T473" t="str">
            <v>YES</v>
          </cell>
          <cell r="U473"/>
          <cell r="V473"/>
          <cell r="W473"/>
          <cell r="X473"/>
          <cell r="Y473" t="str">
            <v>Live</v>
          </cell>
          <cell r="Z473" t="str">
            <v>Comfone</v>
          </cell>
        </row>
        <row r="474">
          <cell r="F474" t="str">
            <v>SGPSH</v>
          </cell>
          <cell r="G474" t="str">
            <v>SGPFT</v>
          </cell>
          <cell r="H474" t="str">
            <v>525</v>
          </cell>
          <cell r="I474" t="str">
            <v>05</v>
          </cell>
          <cell r="J474" t="str">
            <v>x</v>
          </cell>
          <cell r="K474" t="str">
            <v>YES</v>
          </cell>
          <cell r="L474" t="str">
            <v>Arrêté</v>
          </cell>
          <cell r="M474"/>
          <cell r="N474" t="str">
            <v>Arrêté</v>
          </cell>
          <cell r="O474" t="str">
            <v>YES</v>
          </cell>
          <cell r="P474" t="str">
            <v>Arrêté</v>
          </cell>
          <cell r="Q474" t="str">
            <v>YES</v>
          </cell>
          <cell r="R474" t="str">
            <v>Arrêté</v>
          </cell>
          <cell r="S474" t="str">
            <v>Planned</v>
          </cell>
          <cell r="T474" t="str">
            <v>Planned</v>
          </cell>
          <cell r="U474"/>
          <cell r="V474"/>
          <cell r="W474"/>
          <cell r="X474"/>
          <cell r="Y474" t="str">
            <v>Live</v>
          </cell>
          <cell r="Z474" t="str">
            <v>Orange Hub</v>
          </cell>
        </row>
        <row r="475">
          <cell r="F475" t="str">
            <v>BHRST</v>
          </cell>
          <cell r="G475"/>
          <cell r="H475" t="str">
            <v>426</v>
          </cell>
          <cell r="I475" t="str">
            <v>04</v>
          </cell>
          <cell r="J475" t="str">
            <v>x</v>
          </cell>
          <cell r="K475" t="str">
            <v>YES</v>
          </cell>
          <cell r="L475" t="str">
            <v>YES</v>
          </cell>
          <cell r="M475"/>
          <cell r="N475" t="str">
            <v>YES</v>
          </cell>
          <cell r="O475" t="str">
            <v>YES</v>
          </cell>
          <cell r="P475" t="str">
            <v>YES</v>
          </cell>
          <cell r="Q475" t="str">
            <v>YES</v>
          </cell>
          <cell r="R475" t="str">
            <v>Arrêté</v>
          </cell>
          <cell r="S475" t="str">
            <v>YES</v>
          </cell>
          <cell r="T475" t="str">
            <v>YES</v>
          </cell>
          <cell r="U475"/>
          <cell r="V475"/>
          <cell r="W475"/>
          <cell r="X475"/>
          <cell r="Y475" t="str">
            <v>Live</v>
          </cell>
          <cell r="Z475" t="str">
            <v>Bilateral</v>
          </cell>
        </row>
        <row r="476">
          <cell r="F476" t="str">
            <v>KWTKT</v>
          </cell>
          <cell r="G476"/>
          <cell r="H476" t="str">
            <v>419</v>
          </cell>
          <cell r="I476" t="str">
            <v>04</v>
          </cell>
          <cell r="J476" t="str">
            <v>x</v>
          </cell>
          <cell r="K476" t="str">
            <v>YES</v>
          </cell>
          <cell r="L476" t="str">
            <v>YES</v>
          </cell>
          <cell r="M476" t="str">
            <v>YES</v>
          </cell>
          <cell r="N476" t="str">
            <v>YES</v>
          </cell>
          <cell r="O476" t="str">
            <v>YES</v>
          </cell>
          <cell r="P476" t="str">
            <v>YES</v>
          </cell>
          <cell r="Q476" t="str">
            <v>YES</v>
          </cell>
          <cell r="R476" t="str">
            <v>YES</v>
          </cell>
          <cell r="S476" t="str">
            <v>YES</v>
          </cell>
          <cell r="T476" t="str">
            <v>YES</v>
          </cell>
          <cell r="U476"/>
          <cell r="V476"/>
          <cell r="W476"/>
          <cell r="X476"/>
          <cell r="Y476" t="str">
            <v>Live</v>
          </cell>
          <cell r="Z476" t="str">
            <v>Bilateral</v>
          </cell>
        </row>
        <row r="477">
          <cell r="F477" t="str">
            <v>SAUAJ</v>
          </cell>
          <cell r="G477"/>
          <cell r="H477" t="str">
            <v>420</v>
          </cell>
          <cell r="I477" t="str">
            <v>01</v>
          </cell>
          <cell r="J477" t="str">
            <v>x</v>
          </cell>
          <cell r="K477" t="str">
            <v>YES</v>
          </cell>
          <cell r="L477" t="str">
            <v>YES</v>
          </cell>
          <cell r="M477" t="str">
            <v>YES</v>
          </cell>
          <cell r="N477" t="str">
            <v>YES</v>
          </cell>
          <cell r="O477" t="str">
            <v>YES</v>
          </cell>
          <cell r="P477" t="str">
            <v>Arrêté</v>
          </cell>
          <cell r="Q477" t="str">
            <v>YES</v>
          </cell>
          <cell r="R477" t="str">
            <v>Arrêté</v>
          </cell>
          <cell r="S477" t="str">
            <v>YES</v>
          </cell>
          <cell r="T477" t="str">
            <v>YES</v>
          </cell>
          <cell r="U477"/>
          <cell r="V477"/>
          <cell r="W477"/>
          <cell r="X477"/>
          <cell r="Y477" t="str">
            <v>Live</v>
          </cell>
          <cell r="Z477" t="str">
            <v>Bilateral</v>
          </cell>
        </row>
        <row r="478">
          <cell r="F478" t="str">
            <v>SDNTL</v>
          </cell>
          <cell r="G478" t="str">
            <v>SDNK8</v>
          </cell>
          <cell r="H478" t="str">
            <v>634</v>
          </cell>
          <cell r="I478" t="str">
            <v>07</v>
          </cell>
          <cell r="J478" t="str">
            <v>x</v>
          </cell>
          <cell r="K478" t="str">
            <v>Planned</v>
          </cell>
          <cell r="L478" t="str">
            <v>YES</v>
          </cell>
          <cell r="M478" t="str">
            <v>Planned</v>
          </cell>
          <cell r="N478" t="str">
            <v>YES</v>
          </cell>
          <cell r="O478" t="str">
            <v>Planned</v>
          </cell>
          <cell r="P478" t="str">
            <v>YES</v>
          </cell>
          <cell r="Q478" t="str">
            <v>Planned</v>
          </cell>
          <cell r="R478" t="str">
            <v>YES</v>
          </cell>
          <cell r="S478" t="str">
            <v>N.A</v>
          </cell>
          <cell r="T478"/>
          <cell r="U478"/>
          <cell r="V478"/>
          <cell r="W478"/>
          <cell r="X478"/>
          <cell r="Y478" t="str">
            <v>Live</v>
          </cell>
          <cell r="Z478" t="str">
            <v>Comfone</v>
          </cell>
        </row>
        <row r="479">
          <cell r="F479" t="str">
            <v>CHEDX</v>
          </cell>
          <cell r="G479"/>
          <cell r="H479" t="str">
            <v>228</v>
          </cell>
          <cell r="I479" t="str">
            <v>02</v>
          </cell>
          <cell r="J479" t="str">
            <v>x</v>
          </cell>
          <cell r="K479" t="str">
            <v>YES</v>
          </cell>
          <cell r="L479" t="str">
            <v>Arrêté</v>
          </cell>
          <cell r="M479" t="str">
            <v>YES</v>
          </cell>
          <cell r="N479" t="str">
            <v>YES</v>
          </cell>
          <cell r="O479" t="str">
            <v>YES</v>
          </cell>
          <cell r="P479" t="str">
            <v>YES</v>
          </cell>
          <cell r="Q479" t="str">
            <v>YES</v>
          </cell>
          <cell r="R479" t="str">
            <v>YES</v>
          </cell>
          <cell r="S479" t="str">
            <v>YES</v>
          </cell>
          <cell r="T479" t="str">
            <v>YES</v>
          </cell>
          <cell r="U479"/>
          <cell r="V479"/>
          <cell r="W479"/>
          <cell r="X479"/>
          <cell r="Y479" t="str">
            <v>Live</v>
          </cell>
          <cell r="Z479" t="str">
            <v>Bilateral</v>
          </cell>
        </row>
        <row r="480">
          <cell r="F480" t="str">
            <v>AAM26</v>
          </cell>
          <cell r="G480" t="str">
            <v>AAMK6</v>
          </cell>
          <cell r="H480" t="str">
            <v>901</v>
          </cell>
          <cell r="I480" t="str">
            <v>46</v>
          </cell>
          <cell r="J480" t="str">
            <v>x</v>
          </cell>
          <cell r="K480" t="str">
            <v>N.A</v>
          </cell>
          <cell r="L480" t="str">
            <v>YES</v>
          </cell>
          <cell r="M480" t="str">
            <v>N.A</v>
          </cell>
          <cell r="N480"/>
          <cell r="O480" t="str">
            <v>N.A</v>
          </cell>
          <cell r="P480" t="str">
            <v>YES</v>
          </cell>
          <cell r="Q480" t="str">
            <v>N.A</v>
          </cell>
          <cell r="R480" t="str">
            <v>YES</v>
          </cell>
          <cell r="S480"/>
          <cell r="T480"/>
          <cell r="U480"/>
          <cell r="V480"/>
          <cell r="W480"/>
          <cell r="X480"/>
          <cell r="Y480" t="str">
            <v>Live</v>
          </cell>
          <cell r="Z480" t="str">
            <v>Comfone</v>
          </cell>
        </row>
        <row r="481">
          <cell r="F481" t="str">
            <v>GBRGT</v>
          </cell>
          <cell r="G481" t="str">
            <v>GBRK6</v>
          </cell>
          <cell r="H481" t="str">
            <v>234</v>
          </cell>
          <cell r="I481" t="str">
            <v>55</v>
          </cell>
          <cell r="J481" t="str">
            <v>x</v>
          </cell>
          <cell r="K481" t="str">
            <v>YES</v>
          </cell>
          <cell r="L481" t="str">
            <v>YES</v>
          </cell>
          <cell r="M481" t="str">
            <v>YES</v>
          </cell>
          <cell r="N481" t="str">
            <v>YES</v>
          </cell>
          <cell r="O481" t="str">
            <v>YES</v>
          </cell>
          <cell r="P481" t="str">
            <v>YES</v>
          </cell>
          <cell r="Q481" t="str">
            <v>YES</v>
          </cell>
          <cell r="R481" t="str">
            <v>YES</v>
          </cell>
          <cell r="S481" t="str">
            <v>YES</v>
          </cell>
          <cell r="T481" t="str">
            <v>YES</v>
          </cell>
          <cell r="U481"/>
          <cell r="V481"/>
          <cell r="W481"/>
          <cell r="X481"/>
          <cell r="Y481" t="str">
            <v>Live</v>
          </cell>
          <cell r="Z481" t="str">
            <v>Comfone</v>
          </cell>
        </row>
        <row r="482">
          <cell r="F482" t="str">
            <v>CHEC1</v>
          </cell>
          <cell r="G482"/>
          <cell r="H482" t="str">
            <v>228</v>
          </cell>
          <cell r="I482" t="str">
            <v>01</v>
          </cell>
          <cell r="J482" t="str">
            <v>x</v>
          </cell>
          <cell r="K482" t="str">
            <v>YES</v>
          </cell>
          <cell r="L482" t="str">
            <v>YES</v>
          </cell>
          <cell r="M482" t="str">
            <v>YES</v>
          </cell>
          <cell r="N482" t="str">
            <v>YES</v>
          </cell>
          <cell r="O482" t="str">
            <v>YES</v>
          </cell>
          <cell r="P482" t="str">
            <v>YES</v>
          </cell>
          <cell r="Q482" t="str">
            <v>YES</v>
          </cell>
          <cell r="R482" t="str">
            <v>YES</v>
          </cell>
          <cell r="S482" t="str">
            <v>YES</v>
          </cell>
          <cell r="T482" t="str">
            <v>YES</v>
          </cell>
          <cell r="U482"/>
          <cell r="V482"/>
          <cell r="W482"/>
          <cell r="X482"/>
          <cell r="Y482" t="str">
            <v>Live</v>
          </cell>
          <cell r="Z482" t="str">
            <v>Bilateral</v>
          </cell>
        </row>
        <row r="483">
          <cell r="F483" t="str">
            <v>SYR01</v>
          </cell>
          <cell r="G483"/>
          <cell r="H483">
            <v>417</v>
          </cell>
          <cell r="I483" t="str">
            <v>01</v>
          </cell>
          <cell r="J483" t="str">
            <v>x</v>
          </cell>
          <cell r="K483" t="str">
            <v>YES</v>
          </cell>
          <cell r="L483" t="str">
            <v>YES</v>
          </cell>
          <cell r="M483" t="str">
            <v>YES</v>
          </cell>
          <cell r="N483" t="str">
            <v>YES</v>
          </cell>
          <cell r="O483" t="str">
            <v>YES</v>
          </cell>
          <cell r="P483" t="str">
            <v>YES</v>
          </cell>
          <cell r="Q483" t="str">
            <v>YES</v>
          </cell>
          <cell r="R483" t="str">
            <v>YES</v>
          </cell>
          <cell r="S483"/>
          <cell r="T483"/>
          <cell r="U483"/>
          <cell r="V483"/>
          <cell r="W483"/>
          <cell r="X483"/>
          <cell r="Y483" t="str">
            <v>Live</v>
          </cell>
          <cell r="Z483" t="str">
            <v>Bilateral</v>
          </cell>
        </row>
        <row r="484">
          <cell r="F484" t="str">
            <v>CPVTM</v>
          </cell>
          <cell r="G484" t="str">
            <v>CPVK9</v>
          </cell>
          <cell r="H484" t="str">
            <v>625</v>
          </cell>
          <cell r="I484" t="str">
            <v>02</v>
          </cell>
          <cell r="J484" t="str">
            <v>x</v>
          </cell>
          <cell r="K484" t="str">
            <v>YES</v>
          </cell>
          <cell r="L484" t="str">
            <v>YES</v>
          </cell>
          <cell r="M484" t="str">
            <v>YES</v>
          </cell>
          <cell r="N484" t="str">
            <v>YES</v>
          </cell>
          <cell r="O484" t="str">
            <v>YES</v>
          </cell>
          <cell r="P484" t="str">
            <v>YES</v>
          </cell>
          <cell r="Q484" t="str">
            <v>YES</v>
          </cell>
          <cell r="R484" t="str">
            <v>YES</v>
          </cell>
          <cell r="S484" t="str">
            <v>YES</v>
          </cell>
          <cell r="T484" t="str">
            <v>YES</v>
          </cell>
          <cell r="U484"/>
          <cell r="V484"/>
          <cell r="W484"/>
          <cell r="X484"/>
          <cell r="Y484" t="str">
            <v>Live</v>
          </cell>
          <cell r="Z484" t="str">
            <v>Comfone</v>
          </cell>
        </row>
        <row r="485">
          <cell r="F485" t="str">
            <v>SVNT2</v>
          </cell>
          <cell r="G485" t="str">
            <v>SVNFT</v>
          </cell>
          <cell r="H485" t="str">
            <v>293</v>
          </cell>
          <cell r="I485" t="str">
            <v>64</v>
          </cell>
          <cell r="J485" t="str">
            <v>x</v>
          </cell>
          <cell r="K485" t="str">
            <v>YES</v>
          </cell>
          <cell r="L485"/>
          <cell r="M485" t="str">
            <v>N.A</v>
          </cell>
          <cell r="N485"/>
          <cell r="O485" t="str">
            <v>YES</v>
          </cell>
          <cell r="P485"/>
          <cell r="Q485" t="str">
            <v>YES</v>
          </cell>
          <cell r="R485"/>
          <cell r="S485" t="str">
            <v>YES</v>
          </cell>
          <cell r="T485"/>
          <cell r="U485"/>
          <cell r="V485"/>
          <cell r="W485"/>
          <cell r="X485"/>
          <cell r="Y485" t="str">
            <v>Live</v>
          </cell>
          <cell r="Z485" t="str">
            <v>Orange Hub</v>
          </cell>
        </row>
        <row r="486">
          <cell r="F486" t="str">
            <v>TWNPC</v>
          </cell>
          <cell r="G486" t="str">
            <v>TWNFT</v>
          </cell>
          <cell r="H486" t="str">
            <v>466</v>
          </cell>
          <cell r="I486" t="str">
            <v>97</v>
          </cell>
          <cell r="J486" t="str">
            <v>x</v>
          </cell>
          <cell r="K486" t="str">
            <v>YES</v>
          </cell>
          <cell r="L486" t="str">
            <v>YES</v>
          </cell>
          <cell r="M486" t="str">
            <v>N.A</v>
          </cell>
          <cell r="N486" t="str">
            <v>N.A</v>
          </cell>
          <cell r="O486" t="str">
            <v>YES</v>
          </cell>
          <cell r="P486" t="str">
            <v>YES</v>
          </cell>
          <cell r="Q486" t="str">
            <v>YES</v>
          </cell>
          <cell r="R486" t="str">
            <v>YES</v>
          </cell>
          <cell r="S486"/>
          <cell r="T486" t="str">
            <v>Planned</v>
          </cell>
          <cell r="U486"/>
          <cell r="V486"/>
          <cell r="W486"/>
          <cell r="X486"/>
          <cell r="Y486" t="str">
            <v>Live</v>
          </cell>
          <cell r="Z486" t="str">
            <v>Orange Hub</v>
          </cell>
        </row>
        <row r="487">
          <cell r="F487" t="str">
            <v>TWNTG</v>
          </cell>
          <cell r="G487"/>
          <cell r="H487" t="str">
            <v>466</v>
          </cell>
          <cell r="I487" t="str">
            <v>89</v>
          </cell>
          <cell r="J487" t="str">
            <v>x</v>
          </cell>
          <cell r="K487" t="str">
            <v>YES</v>
          </cell>
          <cell r="L487" t="str">
            <v>N.A</v>
          </cell>
          <cell r="M487" t="str">
            <v>N.A</v>
          </cell>
          <cell r="N487" t="str">
            <v>N.A</v>
          </cell>
          <cell r="O487" t="str">
            <v>YES</v>
          </cell>
          <cell r="P487" t="str">
            <v>N.A</v>
          </cell>
          <cell r="Q487" t="str">
            <v>YES</v>
          </cell>
          <cell r="R487" t="str">
            <v>N.A</v>
          </cell>
          <cell r="S487" t="str">
            <v>YES</v>
          </cell>
          <cell r="T487" t="str">
            <v>N.A</v>
          </cell>
          <cell r="U487"/>
          <cell r="V487"/>
          <cell r="W487"/>
          <cell r="X487"/>
          <cell r="Y487" t="str">
            <v>Live</v>
          </cell>
          <cell r="Z487" t="str">
            <v>Bilateral</v>
          </cell>
        </row>
        <row r="488">
          <cell r="F488" t="str">
            <v>LUXTG</v>
          </cell>
          <cell r="G488"/>
          <cell r="H488" t="str">
            <v>270</v>
          </cell>
          <cell r="I488" t="str">
            <v>77</v>
          </cell>
          <cell r="J488" t="str">
            <v>x</v>
          </cell>
          <cell r="K488" t="str">
            <v>YES</v>
          </cell>
          <cell r="L488" t="str">
            <v>YES</v>
          </cell>
          <cell r="M488" t="str">
            <v>YES</v>
          </cell>
          <cell r="N488" t="str">
            <v>YES</v>
          </cell>
          <cell r="O488" t="str">
            <v>YES</v>
          </cell>
          <cell r="P488" t="str">
            <v>YES</v>
          </cell>
          <cell r="Q488" t="str">
            <v>YES</v>
          </cell>
          <cell r="R488" t="str">
            <v>YES</v>
          </cell>
          <cell r="S488" t="str">
            <v>YES</v>
          </cell>
          <cell r="T488" t="str">
            <v>YES</v>
          </cell>
          <cell r="U488"/>
          <cell r="V488"/>
          <cell r="W488"/>
          <cell r="X488"/>
          <cell r="Y488" t="str">
            <v>Live</v>
          </cell>
          <cell r="Z488" t="str">
            <v>Bilateral</v>
          </cell>
        </row>
        <row r="489">
          <cell r="F489" t="str">
            <v>INDT0</v>
          </cell>
          <cell r="G489" t="str">
            <v>INDF1</v>
          </cell>
          <cell r="H489" t="str">
            <v>405</v>
          </cell>
          <cell r="I489" t="str">
            <v>025</v>
          </cell>
          <cell r="J489" t="str">
            <v>x</v>
          </cell>
          <cell r="K489" t="str">
            <v>YES</v>
          </cell>
          <cell r="L489" t="str">
            <v>YES</v>
          </cell>
          <cell r="M489" t="str">
            <v>YES</v>
          </cell>
          <cell r="N489" t="str">
            <v>YES</v>
          </cell>
          <cell r="O489" t="str">
            <v>YES</v>
          </cell>
          <cell r="P489" t="str">
            <v>YES</v>
          </cell>
          <cell r="Q489" t="str">
            <v>YES</v>
          </cell>
          <cell r="R489" t="str">
            <v>YES</v>
          </cell>
          <cell r="S489"/>
          <cell r="T489"/>
          <cell r="U489"/>
          <cell r="V489"/>
          <cell r="W489"/>
          <cell r="X489"/>
          <cell r="Y489" t="str">
            <v>Live</v>
          </cell>
          <cell r="Z489" t="str">
            <v>Orange Hub</v>
          </cell>
        </row>
        <row r="490">
          <cell r="F490" t="str">
            <v>DNKTD</v>
          </cell>
          <cell r="G490"/>
          <cell r="H490" t="str">
            <v>238</v>
          </cell>
          <cell r="I490" t="str">
            <v>01</v>
          </cell>
          <cell r="J490" t="str">
            <v>x</v>
          </cell>
          <cell r="K490" t="str">
            <v>YES</v>
          </cell>
          <cell r="L490" t="str">
            <v>YES</v>
          </cell>
          <cell r="M490" t="str">
            <v>YES</v>
          </cell>
          <cell r="N490" t="str">
            <v>YES</v>
          </cell>
          <cell r="O490" t="str">
            <v>YES</v>
          </cell>
          <cell r="P490" t="str">
            <v>YES</v>
          </cell>
          <cell r="Q490" t="str">
            <v>YES</v>
          </cell>
          <cell r="R490" t="str">
            <v>YES</v>
          </cell>
          <cell r="S490" t="str">
            <v>YES</v>
          </cell>
          <cell r="T490" t="str">
            <v>YES</v>
          </cell>
          <cell r="U490"/>
          <cell r="V490"/>
          <cell r="W490"/>
          <cell r="X490"/>
          <cell r="Y490" t="str">
            <v>Live</v>
          </cell>
          <cell r="Z490" t="str">
            <v>Bilateral</v>
          </cell>
        </row>
        <row r="491">
          <cell r="F491" t="str">
            <v>AFGTD</v>
          </cell>
          <cell r="G491" t="str">
            <v>AFGK9</v>
          </cell>
          <cell r="H491" t="str">
            <v>412</v>
          </cell>
          <cell r="I491" t="str">
            <v>20</v>
          </cell>
          <cell r="J491" t="str">
            <v>x</v>
          </cell>
          <cell r="K491" t="str">
            <v>YES</v>
          </cell>
          <cell r="L491" t="str">
            <v>YES</v>
          </cell>
          <cell r="M491"/>
          <cell r="N491" t="str">
            <v>YES</v>
          </cell>
          <cell r="O491" t="str">
            <v>YES</v>
          </cell>
          <cell r="P491" t="str">
            <v>YES</v>
          </cell>
          <cell r="Q491" t="str">
            <v>YES</v>
          </cell>
          <cell r="R491" t="str">
            <v>YES</v>
          </cell>
          <cell r="S491"/>
          <cell r="T491" t="str">
            <v>YES</v>
          </cell>
          <cell r="U491"/>
          <cell r="V491"/>
          <cell r="W491"/>
          <cell r="X491"/>
          <cell r="Y491" t="str">
            <v>Live</v>
          </cell>
          <cell r="Z491" t="str">
            <v>Comfone</v>
          </cell>
        </row>
        <row r="492">
          <cell r="F492" t="str">
            <v>ANTTC</v>
          </cell>
          <cell r="G492" t="str">
            <v>ANTK9</v>
          </cell>
          <cell r="H492" t="str">
            <v>362</v>
          </cell>
          <cell r="I492" t="str">
            <v>51</v>
          </cell>
          <cell r="J492" t="str">
            <v>x</v>
          </cell>
          <cell r="K492" t="str">
            <v>YES</v>
          </cell>
          <cell r="L492" t="str">
            <v>Arrêté</v>
          </cell>
          <cell r="M492" t="str">
            <v>N.A</v>
          </cell>
          <cell r="N492"/>
          <cell r="O492" t="str">
            <v>YES</v>
          </cell>
          <cell r="P492" t="str">
            <v>Arrêté</v>
          </cell>
          <cell r="Q492" t="str">
            <v>YES</v>
          </cell>
          <cell r="R492" t="str">
            <v>Arrêté</v>
          </cell>
          <cell r="S492"/>
          <cell r="T492"/>
          <cell r="U492"/>
          <cell r="V492"/>
          <cell r="W492"/>
          <cell r="X492"/>
          <cell r="Y492" t="str">
            <v>Live</v>
          </cell>
          <cell r="Z492" t="str">
            <v>Comfone</v>
          </cell>
        </row>
        <row r="493">
          <cell r="F493" t="str">
            <v>GRLTG</v>
          </cell>
          <cell r="G493"/>
          <cell r="H493" t="str">
            <v>290</v>
          </cell>
          <cell r="I493" t="str">
            <v>01</v>
          </cell>
          <cell r="J493" t="str">
            <v>x</v>
          </cell>
          <cell r="K493" t="str">
            <v>YES</v>
          </cell>
          <cell r="L493" t="str">
            <v>YES</v>
          </cell>
          <cell r="M493" t="str">
            <v>YES</v>
          </cell>
          <cell r="N493" t="str">
            <v>YES</v>
          </cell>
          <cell r="O493" t="str">
            <v>YES</v>
          </cell>
          <cell r="P493" t="str">
            <v>YES</v>
          </cell>
          <cell r="Q493" t="str">
            <v>YES</v>
          </cell>
          <cell r="R493" t="str">
            <v>YES</v>
          </cell>
          <cell r="S493" t="str">
            <v>YES</v>
          </cell>
          <cell r="T493" t="str">
            <v>YES</v>
          </cell>
          <cell r="U493"/>
          <cell r="V493"/>
          <cell r="W493"/>
          <cell r="X493"/>
          <cell r="Y493" t="str">
            <v>Live</v>
          </cell>
          <cell r="Z493" t="str">
            <v>Bilateral</v>
          </cell>
        </row>
        <row r="494">
          <cell r="F494" t="str">
            <v>ESTRB</v>
          </cell>
          <cell r="G494"/>
          <cell r="H494" t="str">
            <v>248</v>
          </cell>
          <cell r="I494" t="str">
            <v>03</v>
          </cell>
          <cell r="J494" t="str">
            <v>x</v>
          </cell>
          <cell r="K494" t="str">
            <v>YES</v>
          </cell>
          <cell r="L494" t="str">
            <v>YES</v>
          </cell>
          <cell r="M494" t="str">
            <v>YES</v>
          </cell>
          <cell r="N494" t="str">
            <v>YES</v>
          </cell>
          <cell r="O494" t="str">
            <v>YES</v>
          </cell>
          <cell r="P494" t="str">
            <v>YES</v>
          </cell>
          <cell r="Q494" t="str">
            <v>YES</v>
          </cell>
          <cell r="R494" t="str">
            <v>YES</v>
          </cell>
          <cell r="S494" t="str">
            <v>YES</v>
          </cell>
          <cell r="T494" t="str">
            <v>YES</v>
          </cell>
          <cell r="U494"/>
          <cell r="V494"/>
          <cell r="W494"/>
          <cell r="X494"/>
          <cell r="Y494" t="str">
            <v>Live</v>
          </cell>
          <cell r="Z494" t="str">
            <v>Bilateral</v>
          </cell>
        </row>
        <row r="495">
          <cell r="F495" t="str">
            <v>LVABC</v>
          </cell>
          <cell r="G495"/>
          <cell r="H495" t="str">
            <v>247</v>
          </cell>
          <cell r="I495" t="str">
            <v>02</v>
          </cell>
          <cell r="J495" t="str">
            <v>x</v>
          </cell>
          <cell r="K495" t="str">
            <v>YES</v>
          </cell>
          <cell r="L495" t="str">
            <v>YES</v>
          </cell>
          <cell r="M495" t="str">
            <v>YES</v>
          </cell>
          <cell r="N495" t="str">
            <v>YES</v>
          </cell>
          <cell r="O495" t="str">
            <v>YES</v>
          </cell>
          <cell r="P495" t="str">
            <v>YES</v>
          </cell>
          <cell r="Q495" t="str">
            <v>YES</v>
          </cell>
          <cell r="R495" t="str">
            <v>YES</v>
          </cell>
          <cell r="S495" t="str">
            <v>YES</v>
          </cell>
          <cell r="T495" t="str">
            <v>YES</v>
          </cell>
          <cell r="U495"/>
          <cell r="V495"/>
          <cell r="W495"/>
          <cell r="X495"/>
          <cell r="Y495" t="str">
            <v>Live</v>
          </cell>
          <cell r="Z495" t="str">
            <v>Bilateral</v>
          </cell>
        </row>
        <row r="496">
          <cell r="F496" t="str">
            <v>RUST2</v>
          </cell>
          <cell r="G496" t="str">
            <v>RUSK1</v>
          </cell>
          <cell r="H496" t="str">
            <v>250</v>
          </cell>
          <cell r="I496" t="str">
            <v>20</v>
          </cell>
          <cell r="J496" t="str">
            <v>x</v>
          </cell>
          <cell r="K496" t="str">
            <v>YES</v>
          </cell>
          <cell r="L496" t="str">
            <v>YES</v>
          </cell>
          <cell r="M496" t="str">
            <v>YES</v>
          </cell>
          <cell r="N496" t="str">
            <v>YES</v>
          </cell>
          <cell r="O496" t="str">
            <v>YES</v>
          </cell>
          <cell r="P496" t="str">
            <v>YES</v>
          </cell>
          <cell r="Q496" t="str">
            <v>YES</v>
          </cell>
          <cell r="R496" t="str">
            <v>YES</v>
          </cell>
          <cell r="S496" t="str">
            <v>YES</v>
          </cell>
          <cell r="T496" t="str">
            <v>YES</v>
          </cell>
          <cell r="U496"/>
          <cell r="V496"/>
          <cell r="W496"/>
          <cell r="X496"/>
          <cell r="Y496" t="str">
            <v>Live</v>
          </cell>
          <cell r="Z496" t="str">
            <v>Comfone</v>
          </cell>
        </row>
        <row r="497">
          <cell r="F497" t="str">
            <v>SWEIQ</v>
          </cell>
          <cell r="G497"/>
          <cell r="H497" t="str">
            <v>240</v>
          </cell>
          <cell r="I497" t="str">
            <v>07</v>
          </cell>
          <cell r="J497" t="str">
            <v>x</v>
          </cell>
          <cell r="K497" t="str">
            <v>YES</v>
          </cell>
          <cell r="L497" t="str">
            <v>YES</v>
          </cell>
          <cell r="M497" t="str">
            <v>YES</v>
          </cell>
          <cell r="N497" t="str">
            <v>YES</v>
          </cell>
          <cell r="O497" t="str">
            <v>YES</v>
          </cell>
          <cell r="P497" t="str">
            <v>YES</v>
          </cell>
          <cell r="Q497" t="str">
            <v>YES</v>
          </cell>
          <cell r="R497" t="str">
            <v>YES</v>
          </cell>
          <cell r="S497" t="str">
            <v>YES</v>
          </cell>
          <cell r="T497" t="str">
            <v>YES</v>
          </cell>
          <cell r="U497"/>
          <cell r="V497"/>
          <cell r="W497"/>
          <cell r="X497"/>
          <cell r="Y497" t="str">
            <v>Live</v>
          </cell>
          <cell r="Z497" t="str">
            <v>Bilateral</v>
          </cell>
        </row>
        <row r="498">
          <cell r="F498" t="str">
            <v>SWESM</v>
          </cell>
          <cell r="G498"/>
          <cell r="H498" t="str">
            <v>240</v>
          </cell>
          <cell r="I498" t="str">
            <v>10</v>
          </cell>
          <cell r="J498" t="str">
            <v>x</v>
          </cell>
          <cell r="K498" t="str">
            <v>YES</v>
          </cell>
          <cell r="L498"/>
          <cell r="M498" t="str">
            <v>YES</v>
          </cell>
          <cell r="N498"/>
          <cell r="O498" t="str">
            <v>YES</v>
          </cell>
          <cell r="P498"/>
          <cell r="Q498" t="str">
            <v>YES</v>
          </cell>
          <cell r="R498"/>
          <cell r="S498"/>
          <cell r="T498"/>
          <cell r="U498"/>
          <cell r="V498"/>
          <cell r="W498"/>
          <cell r="X498"/>
          <cell r="Y498" t="str">
            <v>Live</v>
          </cell>
          <cell r="Z498" t="str">
            <v>Bilateral</v>
          </cell>
        </row>
        <row r="499">
          <cell r="F499" t="str">
            <v>NERTL</v>
          </cell>
          <cell r="G499" t="str">
            <v>NERK9</v>
          </cell>
          <cell r="H499" t="str">
            <v>614</v>
          </cell>
          <cell r="I499" t="str">
            <v>03</v>
          </cell>
          <cell r="J499" t="str">
            <v>x</v>
          </cell>
          <cell r="K499" t="str">
            <v>YES</v>
          </cell>
          <cell r="L499" t="str">
            <v>YES</v>
          </cell>
          <cell r="M499"/>
          <cell r="N499"/>
          <cell r="O499" t="str">
            <v>YES</v>
          </cell>
          <cell r="P499" t="str">
            <v>YES</v>
          </cell>
          <cell r="Q499" t="str">
            <v>YES</v>
          </cell>
          <cell r="R499" t="str">
            <v>YES</v>
          </cell>
          <cell r="S499"/>
          <cell r="T499"/>
          <cell r="U499"/>
          <cell r="V499"/>
          <cell r="W499"/>
          <cell r="X499"/>
          <cell r="Y499" t="str">
            <v>Live</v>
          </cell>
          <cell r="Z499" t="str">
            <v>Comfone</v>
          </cell>
        </row>
        <row r="500">
          <cell r="F500" t="str">
            <v>ZWEN3</v>
          </cell>
          <cell r="G500"/>
          <cell r="H500" t="str">
            <v>648</v>
          </cell>
          <cell r="I500" t="str">
            <v>03</v>
          </cell>
          <cell r="J500" t="str">
            <v>x</v>
          </cell>
          <cell r="K500"/>
          <cell r="L500" t="str">
            <v>YES</v>
          </cell>
          <cell r="M500"/>
          <cell r="N500"/>
          <cell r="O500"/>
          <cell r="P500" t="str">
            <v>YES</v>
          </cell>
          <cell r="Q500"/>
          <cell r="R500" t="str">
            <v>YES</v>
          </cell>
          <cell r="S500"/>
          <cell r="T500"/>
          <cell r="U500"/>
          <cell r="V500"/>
          <cell r="W500"/>
          <cell r="X500"/>
          <cell r="Y500" t="str">
            <v>Live</v>
          </cell>
          <cell r="Z500" t="str">
            <v>Bilateral</v>
          </cell>
        </row>
        <row r="501">
          <cell r="F501" t="str">
            <v>ARM01</v>
          </cell>
          <cell r="G501"/>
          <cell r="H501" t="str">
            <v>283</v>
          </cell>
          <cell r="I501" t="str">
            <v>01</v>
          </cell>
          <cell r="J501" t="str">
            <v>x</v>
          </cell>
          <cell r="K501" t="str">
            <v>YES</v>
          </cell>
          <cell r="L501" t="str">
            <v>YES</v>
          </cell>
          <cell r="M501" t="str">
            <v>YES</v>
          </cell>
          <cell r="N501" t="str">
            <v>YES</v>
          </cell>
          <cell r="O501" t="str">
            <v>YES</v>
          </cell>
          <cell r="P501" t="str">
            <v>YES</v>
          </cell>
          <cell r="Q501" t="str">
            <v>YES</v>
          </cell>
          <cell r="R501" t="str">
            <v>YES</v>
          </cell>
          <cell r="S501" t="str">
            <v>YES</v>
          </cell>
          <cell r="T501" t="str">
            <v>YES</v>
          </cell>
          <cell r="U501"/>
          <cell r="V501"/>
          <cell r="W501"/>
          <cell r="X501"/>
          <cell r="Y501" t="str">
            <v>Live</v>
          </cell>
          <cell r="Z501" t="str">
            <v>Bilateral</v>
          </cell>
        </row>
        <row r="502">
          <cell r="F502" t="str">
            <v>COKTC</v>
          </cell>
          <cell r="G502" t="str">
            <v>COKK9</v>
          </cell>
          <cell r="H502" t="str">
            <v>548</v>
          </cell>
          <cell r="I502" t="str">
            <v>01</v>
          </cell>
          <cell r="J502" t="str">
            <v>x</v>
          </cell>
          <cell r="K502" t="str">
            <v>YES</v>
          </cell>
          <cell r="L502" t="str">
            <v>YES</v>
          </cell>
          <cell r="M502"/>
          <cell r="N502" t="str">
            <v>YES</v>
          </cell>
          <cell r="O502"/>
          <cell r="P502" t="str">
            <v>YES</v>
          </cell>
          <cell r="Q502"/>
          <cell r="R502" t="str">
            <v>YES</v>
          </cell>
          <cell r="S502"/>
          <cell r="T502" t="str">
            <v>YES</v>
          </cell>
          <cell r="U502"/>
          <cell r="V502"/>
          <cell r="W502"/>
          <cell r="X502"/>
          <cell r="Y502" t="str">
            <v>Live</v>
          </cell>
          <cell r="Z502" t="str">
            <v>Comfone</v>
          </cell>
        </row>
        <row r="503">
          <cell r="F503" t="str">
            <v>ITAGT</v>
          </cell>
          <cell r="G503"/>
          <cell r="H503" t="str">
            <v>901</v>
          </cell>
          <cell r="I503" t="str">
            <v>26</v>
          </cell>
          <cell r="J503" t="str">
            <v>x</v>
          </cell>
          <cell r="K503"/>
          <cell r="L503" t="str">
            <v>YES</v>
          </cell>
          <cell r="M503"/>
          <cell r="N503" t="str">
            <v>YES</v>
          </cell>
          <cell r="O503"/>
          <cell r="P503" t="str">
            <v>YES</v>
          </cell>
          <cell r="Q503" t="str">
            <v>N.A</v>
          </cell>
          <cell r="R503"/>
          <cell r="S503"/>
          <cell r="T503"/>
          <cell r="U503"/>
          <cell r="V503"/>
          <cell r="W503"/>
          <cell r="X503"/>
          <cell r="Y503" t="str">
            <v>Live</v>
          </cell>
          <cell r="Z503" t="str">
            <v>Bilateral</v>
          </cell>
        </row>
        <row r="504">
          <cell r="F504" t="str">
            <v>NAM03</v>
          </cell>
          <cell r="G504" t="str">
            <v>NAMK9</v>
          </cell>
          <cell r="H504" t="str">
            <v>649</v>
          </cell>
          <cell r="I504" t="str">
            <v>03</v>
          </cell>
          <cell r="J504" t="str">
            <v>x</v>
          </cell>
          <cell r="K504" t="str">
            <v>YES</v>
          </cell>
          <cell r="L504" t="str">
            <v>YES</v>
          </cell>
          <cell r="M504"/>
          <cell r="N504" t="str">
            <v>YES</v>
          </cell>
          <cell r="O504" t="str">
            <v>YES</v>
          </cell>
          <cell r="P504" t="str">
            <v>YES</v>
          </cell>
          <cell r="Q504" t="str">
            <v>YES</v>
          </cell>
          <cell r="R504" t="str">
            <v>YES</v>
          </cell>
          <cell r="S504"/>
          <cell r="T504"/>
          <cell r="U504"/>
          <cell r="V504"/>
          <cell r="W504"/>
          <cell r="X504"/>
          <cell r="Y504" t="str">
            <v>Live</v>
          </cell>
          <cell r="Z504" t="str">
            <v>Comfone</v>
          </cell>
        </row>
        <row r="505">
          <cell r="F505" t="str">
            <v>ARGTP</v>
          </cell>
          <cell r="G505" t="str">
            <v>ARGK9</v>
          </cell>
          <cell r="H505" t="str">
            <v>722</v>
          </cell>
          <cell r="I505" t="str">
            <v>34</v>
          </cell>
          <cell r="J505" t="str">
            <v>x</v>
          </cell>
          <cell r="K505"/>
          <cell r="L505" t="str">
            <v>YES</v>
          </cell>
          <cell r="M505"/>
          <cell r="N505" t="str">
            <v>YES</v>
          </cell>
          <cell r="O505"/>
          <cell r="P505" t="str">
            <v>YES</v>
          </cell>
          <cell r="Q505"/>
          <cell r="R505" t="str">
            <v>YES</v>
          </cell>
          <cell r="S505"/>
          <cell r="T505" t="str">
            <v>YES</v>
          </cell>
          <cell r="U505"/>
          <cell r="V505"/>
          <cell r="W505"/>
          <cell r="X505"/>
          <cell r="Y505" t="str">
            <v>Live</v>
          </cell>
          <cell r="Z505" t="str">
            <v>Comfone</v>
          </cell>
        </row>
        <row r="506">
          <cell r="F506" t="str">
            <v>VUT01</v>
          </cell>
          <cell r="G506" t="str">
            <v>VUTFT</v>
          </cell>
          <cell r="H506" t="str">
            <v>541</v>
          </cell>
          <cell r="I506" t="str">
            <v>01</v>
          </cell>
          <cell r="J506" t="str">
            <v>x</v>
          </cell>
          <cell r="K506" t="str">
            <v>YES</v>
          </cell>
          <cell r="L506" t="str">
            <v>YES</v>
          </cell>
          <cell r="M506" t="str">
            <v>N.A</v>
          </cell>
          <cell r="N506"/>
          <cell r="O506" t="str">
            <v>YES</v>
          </cell>
          <cell r="P506" t="str">
            <v>YES</v>
          </cell>
          <cell r="Q506" t="str">
            <v>YES</v>
          </cell>
          <cell r="R506" t="str">
            <v>YES</v>
          </cell>
          <cell r="S506"/>
          <cell r="T506"/>
          <cell r="U506"/>
          <cell r="V506"/>
          <cell r="W506"/>
          <cell r="X506"/>
          <cell r="Y506" t="str">
            <v>Live</v>
          </cell>
          <cell r="Z506" t="str">
            <v>Orange Hub</v>
          </cell>
        </row>
        <row r="507">
          <cell r="F507" t="str">
            <v>DEUE1</v>
          </cell>
          <cell r="G507"/>
          <cell r="H507" t="str">
            <v>262</v>
          </cell>
          <cell r="I507" t="str">
            <v>03</v>
          </cell>
          <cell r="J507" t="str">
            <v>x</v>
          </cell>
          <cell r="K507" t="str">
            <v>YES</v>
          </cell>
          <cell r="L507" t="str">
            <v>YES</v>
          </cell>
          <cell r="M507" t="str">
            <v>YES</v>
          </cell>
          <cell r="N507" t="str">
            <v>YES</v>
          </cell>
          <cell r="O507" t="str">
            <v>YES</v>
          </cell>
          <cell r="P507" t="str">
            <v>YES</v>
          </cell>
          <cell r="Q507" t="str">
            <v>YES</v>
          </cell>
          <cell r="R507" t="str">
            <v>N.A</v>
          </cell>
          <cell r="S507" t="str">
            <v>YES</v>
          </cell>
          <cell r="T507" t="str">
            <v>YES</v>
          </cell>
          <cell r="U507"/>
          <cell r="V507"/>
          <cell r="W507"/>
          <cell r="X507"/>
          <cell r="Y507" t="str">
            <v>Live</v>
          </cell>
          <cell r="Z507" t="str">
            <v>Bilateral</v>
          </cell>
        </row>
        <row r="508">
          <cell r="F508" t="str">
            <v>ECUOT</v>
          </cell>
          <cell r="G508"/>
          <cell r="H508" t="str">
            <v>740</v>
          </cell>
          <cell r="I508" t="str">
            <v>00</v>
          </cell>
          <cell r="J508" t="str">
            <v>x</v>
          </cell>
          <cell r="K508" t="str">
            <v>N.A</v>
          </cell>
          <cell r="L508" t="str">
            <v>YES</v>
          </cell>
          <cell r="M508"/>
          <cell r="N508" t="str">
            <v>Planned</v>
          </cell>
          <cell r="O508" t="str">
            <v>N.A</v>
          </cell>
          <cell r="P508" t="str">
            <v>YES</v>
          </cell>
          <cell r="Q508" t="str">
            <v>N.A</v>
          </cell>
          <cell r="R508" t="str">
            <v>YES</v>
          </cell>
          <cell r="S508"/>
          <cell r="T508" t="str">
            <v>Planned</v>
          </cell>
          <cell r="U508"/>
          <cell r="V508"/>
          <cell r="W508"/>
          <cell r="X508"/>
          <cell r="Y508" t="str">
            <v>Live</v>
          </cell>
          <cell r="Z508" t="str">
            <v>Bilateral</v>
          </cell>
        </row>
        <row r="509">
          <cell r="F509" t="str">
            <v>BOLTE</v>
          </cell>
          <cell r="G509" t="str">
            <v>BOLK9</v>
          </cell>
          <cell r="H509" t="str">
            <v>736</v>
          </cell>
          <cell r="I509" t="str">
            <v>03</v>
          </cell>
          <cell r="J509" t="str">
            <v>x</v>
          </cell>
          <cell r="K509" t="str">
            <v>YES</v>
          </cell>
          <cell r="L509" t="str">
            <v>YES</v>
          </cell>
          <cell r="M509" t="str">
            <v>N.A</v>
          </cell>
          <cell r="N509" t="str">
            <v>YES</v>
          </cell>
          <cell r="O509" t="str">
            <v>YES</v>
          </cell>
          <cell r="P509" t="str">
            <v>YES</v>
          </cell>
          <cell r="Q509" t="str">
            <v>YES</v>
          </cell>
          <cell r="R509" t="str">
            <v>YES</v>
          </cell>
          <cell r="S509"/>
          <cell r="T509"/>
          <cell r="U509"/>
          <cell r="V509"/>
          <cell r="W509"/>
          <cell r="X509"/>
          <cell r="Y509" t="str">
            <v>Live</v>
          </cell>
          <cell r="Z509" t="str">
            <v>Comfone</v>
          </cell>
        </row>
        <row r="510">
          <cell r="F510" t="str">
            <v>PRYTC</v>
          </cell>
          <cell r="G510" t="str">
            <v>PRYK8</v>
          </cell>
          <cell r="H510" t="str">
            <v>744</v>
          </cell>
          <cell r="I510" t="str">
            <v>04</v>
          </cell>
          <cell r="J510" t="str">
            <v>x</v>
          </cell>
          <cell r="K510" t="str">
            <v>YES</v>
          </cell>
          <cell r="L510" t="str">
            <v>YES</v>
          </cell>
          <cell r="M510"/>
          <cell r="N510" t="str">
            <v>YES</v>
          </cell>
          <cell r="O510" t="str">
            <v>YES</v>
          </cell>
          <cell r="P510" t="str">
            <v>YES</v>
          </cell>
          <cell r="Q510" t="str">
            <v>YES</v>
          </cell>
          <cell r="R510" t="str">
            <v>YES</v>
          </cell>
          <cell r="S510" t="str">
            <v>N.A</v>
          </cell>
          <cell r="T510"/>
          <cell r="U510"/>
          <cell r="V510"/>
          <cell r="W510"/>
          <cell r="X510"/>
          <cell r="Y510" t="str">
            <v>Live</v>
          </cell>
          <cell r="Z510" t="str">
            <v>Comfone</v>
          </cell>
        </row>
        <row r="511">
          <cell r="F511" t="str">
            <v>HND02</v>
          </cell>
          <cell r="G511" t="str">
            <v>HNDK7</v>
          </cell>
          <cell r="H511" t="str">
            <v>708</v>
          </cell>
          <cell r="I511" t="str">
            <v>02</v>
          </cell>
          <cell r="J511" t="str">
            <v>x</v>
          </cell>
          <cell r="K511" t="str">
            <v>YES</v>
          </cell>
          <cell r="L511" t="str">
            <v>YES</v>
          </cell>
          <cell r="M511" t="str">
            <v>YES</v>
          </cell>
          <cell r="N511" t="str">
            <v>YES</v>
          </cell>
          <cell r="O511" t="str">
            <v>YES</v>
          </cell>
          <cell r="P511" t="str">
            <v>YES</v>
          </cell>
          <cell r="Q511" t="str">
            <v>YES</v>
          </cell>
          <cell r="R511" t="str">
            <v>YES</v>
          </cell>
          <cell r="S511" t="str">
            <v>YES</v>
          </cell>
          <cell r="T511" t="str">
            <v>YES</v>
          </cell>
          <cell r="U511"/>
          <cell r="V511"/>
          <cell r="W511"/>
          <cell r="X511"/>
          <cell r="Y511" t="str">
            <v>Live</v>
          </cell>
          <cell r="Z511" t="str">
            <v>Comfone</v>
          </cell>
        </row>
        <row r="512">
          <cell r="F512" t="str">
            <v>CRITC</v>
          </cell>
          <cell r="G512"/>
          <cell r="H512" t="str">
            <v>712</v>
          </cell>
          <cell r="I512" t="str">
            <v>04</v>
          </cell>
          <cell r="J512" t="str">
            <v>x</v>
          </cell>
          <cell r="K512" t="str">
            <v>YES</v>
          </cell>
          <cell r="L512" t="str">
            <v>YES</v>
          </cell>
          <cell r="M512"/>
          <cell r="N512" t="str">
            <v>YES</v>
          </cell>
          <cell r="O512" t="str">
            <v>YES</v>
          </cell>
          <cell r="P512" t="str">
            <v>YES</v>
          </cell>
          <cell r="Q512" t="str">
            <v>YES</v>
          </cell>
          <cell r="R512" t="str">
            <v>YES</v>
          </cell>
          <cell r="S512" t="str">
            <v>YES</v>
          </cell>
          <cell r="T512" t="str">
            <v>YES</v>
          </cell>
          <cell r="U512"/>
          <cell r="V512"/>
          <cell r="W512"/>
          <cell r="X512"/>
          <cell r="Y512" t="str">
            <v>Live</v>
          </cell>
          <cell r="Z512" t="str">
            <v>Bilateral</v>
          </cell>
        </row>
        <row r="513">
          <cell r="F513" t="str">
            <v>DEUE2</v>
          </cell>
          <cell r="G513"/>
          <cell r="H513" t="str">
            <v>262</v>
          </cell>
          <cell r="I513" t="str">
            <v>07</v>
          </cell>
          <cell r="J513" t="str">
            <v>x</v>
          </cell>
          <cell r="K513" t="str">
            <v>YES</v>
          </cell>
          <cell r="L513" t="str">
            <v>YES</v>
          </cell>
          <cell r="M513" t="str">
            <v>YES</v>
          </cell>
          <cell r="N513" t="str">
            <v>YES</v>
          </cell>
          <cell r="O513" t="str">
            <v>YES</v>
          </cell>
          <cell r="P513" t="str">
            <v>YES</v>
          </cell>
          <cell r="Q513" t="str">
            <v>YES</v>
          </cell>
          <cell r="R513" t="str">
            <v>N.A</v>
          </cell>
          <cell r="S513" t="str">
            <v>YES</v>
          </cell>
          <cell r="T513" t="str">
            <v>YES</v>
          </cell>
          <cell r="U513"/>
          <cell r="V513"/>
          <cell r="W513"/>
          <cell r="X513"/>
          <cell r="Y513" t="str">
            <v>Live</v>
          </cell>
          <cell r="Z513" t="str">
            <v>Bilateral</v>
          </cell>
        </row>
        <row r="514">
          <cell r="F514" t="str">
            <v>ARGTM</v>
          </cell>
          <cell r="G514"/>
          <cell r="H514" t="str">
            <v>722</v>
          </cell>
          <cell r="I514" t="str">
            <v>07</v>
          </cell>
          <cell r="J514" t="str">
            <v>x</v>
          </cell>
          <cell r="K514" t="str">
            <v>YES</v>
          </cell>
          <cell r="L514" t="str">
            <v>YES</v>
          </cell>
          <cell r="M514" t="str">
            <v>YES</v>
          </cell>
          <cell r="N514" t="str">
            <v>YES</v>
          </cell>
          <cell r="O514" t="str">
            <v>YES</v>
          </cell>
          <cell r="P514" t="str">
            <v>YES</v>
          </cell>
          <cell r="Q514" t="str">
            <v>YES</v>
          </cell>
          <cell r="R514" t="str">
            <v>YES</v>
          </cell>
          <cell r="S514" t="str">
            <v>YES</v>
          </cell>
          <cell r="T514" t="str">
            <v>Planned</v>
          </cell>
          <cell r="U514"/>
          <cell r="V514"/>
          <cell r="W514"/>
          <cell r="X514"/>
          <cell r="Y514" t="str">
            <v>Live</v>
          </cell>
          <cell r="Z514" t="str">
            <v>Bilateral</v>
          </cell>
        </row>
        <row r="515">
          <cell r="F515" t="str">
            <v>PANMS</v>
          </cell>
          <cell r="G515"/>
          <cell r="H515" t="str">
            <v>714</v>
          </cell>
          <cell r="I515" t="str">
            <v>020</v>
          </cell>
          <cell r="J515" t="str">
            <v>x</v>
          </cell>
          <cell r="K515" t="str">
            <v>YES</v>
          </cell>
          <cell r="L515" t="str">
            <v>YES</v>
          </cell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 t="str">
            <v>Live</v>
          </cell>
          <cell r="Z515" t="str">
            <v>Bilateral</v>
          </cell>
        </row>
        <row r="516">
          <cell r="F516" t="str">
            <v>CZEET</v>
          </cell>
          <cell r="G516"/>
          <cell r="H516" t="str">
            <v>230</v>
          </cell>
          <cell r="I516" t="str">
            <v>02</v>
          </cell>
          <cell r="J516" t="str">
            <v>x</v>
          </cell>
          <cell r="K516" t="str">
            <v>YES</v>
          </cell>
          <cell r="L516" t="str">
            <v>YES</v>
          </cell>
          <cell r="M516" t="str">
            <v>YES</v>
          </cell>
          <cell r="N516" t="str">
            <v>YES</v>
          </cell>
          <cell r="O516" t="str">
            <v>YES</v>
          </cell>
          <cell r="P516" t="str">
            <v>Arrêté</v>
          </cell>
          <cell r="Q516" t="str">
            <v>YES</v>
          </cell>
          <cell r="R516" t="str">
            <v>Arrêté</v>
          </cell>
          <cell r="S516" t="str">
            <v>YES</v>
          </cell>
          <cell r="T516" t="str">
            <v>YES</v>
          </cell>
          <cell r="U516"/>
          <cell r="V516"/>
          <cell r="W516"/>
          <cell r="X516"/>
          <cell r="Y516" t="str">
            <v>Live</v>
          </cell>
          <cell r="Z516" t="str">
            <v>Bilateral</v>
          </cell>
        </row>
        <row r="517">
          <cell r="F517" t="str">
            <v>ESPTE</v>
          </cell>
          <cell r="G517"/>
          <cell r="H517" t="str">
            <v>214</v>
          </cell>
          <cell r="I517" t="str">
            <v>07</v>
          </cell>
          <cell r="J517" t="str">
            <v>x</v>
          </cell>
          <cell r="K517" t="str">
            <v>YES</v>
          </cell>
          <cell r="L517" t="str">
            <v>YES</v>
          </cell>
          <cell r="M517" t="str">
            <v>YES</v>
          </cell>
          <cell r="N517" t="str">
            <v>YES</v>
          </cell>
          <cell r="O517" t="str">
            <v>YES</v>
          </cell>
          <cell r="P517" t="str">
            <v>YES</v>
          </cell>
          <cell r="Q517" t="str">
            <v>YES</v>
          </cell>
          <cell r="R517" t="str">
            <v>YES</v>
          </cell>
          <cell r="S517" t="str">
            <v>YES</v>
          </cell>
          <cell r="T517" t="str">
            <v>YES</v>
          </cell>
          <cell r="U517"/>
          <cell r="V517"/>
          <cell r="W517"/>
          <cell r="X517"/>
          <cell r="Y517" t="str">
            <v>Live</v>
          </cell>
          <cell r="Z517" t="str">
            <v>Bilateral</v>
          </cell>
        </row>
        <row r="518">
          <cell r="F518" t="str">
            <v>ESPT2</v>
          </cell>
          <cell r="G518"/>
          <cell r="H518" t="str">
            <v>214</v>
          </cell>
          <cell r="I518" t="str">
            <v>05</v>
          </cell>
          <cell r="J518" t="str">
            <v>x</v>
          </cell>
          <cell r="K518" t="str">
            <v>YES</v>
          </cell>
          <cell r="L518"/>
          <cell r="M518" t="str">
            <v>YES</v>
          </cell>
          <cell r="N518"/>
          <cell r="O518" t="str">
            <v>YES</v>
          </cell>
          <cell r="P518"/>
          <cell r="Q518" t="str">
            <v>YES</v>
          </cell>
          <cell r="R518"/>
          <cell r="S518" t="str">
            <v>YES</v>
          </cell>
          <cell r="T518"/>
          <cell r="U518"/>
          <cell r="V518"/>
          <cell r="W518"/>
          <cell r="X518"/>
          <cell r="Y518" t="str">
            <v>Live</v>
          </cell>
          <cell r="Z518" t="str">
            <v>Bilateral</v>
          </cell>
        </row>
        <row r="519">
          <cell r="F519" t="str">
            <v>ALBAM</v>
          </cell>
          <cell r="G519"/>
          <cell r="H519" t="str">
            <v>276</v>
          </cell>
          <cell r="I519" t="str">
            <v>01</v>
          </cell>
          <cell r="J519" t="str">
            <v>x</v>
          </cell>
          <cell r="K519" t="str">
            <v>YES</v>
          </cell>
          <cell r="L519" t="str">
            <v>YES</v>
          </cell>
          <cell r="M519" t="str">
            <v>YES</v>
          </cell>
          <cell r="N519" t="str">
            <v>YES</v>
          </cell>
          <cell r="O519" t="str">
            <v>YES</v>
          </cell>
          <cell r="P519" t="str">
            <v>YES</v>
          </cell>
          <cell r="Q519" t="str">
            <v>YES</v>
          </cell>
          <cell r="R519" t="str">
            <v>YES</v>
          </cell>
          <cell r="S519" t="str">
            <v>YES</v>
          </cell>
          <cell r="T519" t="str">
            <v>YES</v>
          </cell>
          <cell r="U519"/>
          <cell r="V519"/>
          <cell r="W519"/>
          <cell r="X519"/>
          <cell r="Y519" t="str">
            <v>Live</v>
          </cell>
          <cell r="Z519" t="str">
            <v>Bilateral</v>
          </cell>
        </row>
        <row r="520">
          <cell r="F520" t="str">
            <v>AAZTD</v>
          </cell>
          <cell r="G520"/>
          <cell r="H520" t="str">
            <v>901</v>
          </cell>
          <cell r="I520" t="str">
            <v>40</v>
          </cell>
          <cell r="J520" t="str">
            <v>x</v>
          </cell>
          <cell r="K520" t="str">
            <v>YES</v>
          </cell>
          <cell r="L520" t="str">
            <v>N.A</v>
          </cell>
          <cell r="M520"/>
          <cell r="N520" t="str">
            <v>N.A</v>
          </cell>
          <cell r="O520" t="str">
            <v>YES</v>
          </cell>
          <cell r="P520" t="str">
            <v>N.A</v>
          </cell>
          <cell r="Q520" t="str">
            <v>YES</v>
          </cell>
          <cell r="R520" t="str">
            <v>N.A</v>
          </cell>
          <cell r="S520" t="str">
            <v>YES</v>
          </cell>
          <cell r="T520" t="str">
            <v>N.A</v>
          </cell>
          <cell r="U520"/>
          <cell r="V520"/>
          <cell r="W520"/>
          <cell r="X520"/>
          <cell r="Y520" t="str">
            <v>Live</v>
          </cell>
          <cell r="Z520" t="str">
            <v>Bilateral</v>
          </cell>
        </row>
        <row r="521">
          <cell r="F521" t="str">
            <v>HUNH2</v>
          </cell>
          <cell r="G521"/>
          <cell r="H521" t="str">
            <v>216</v>
          </cell>
          <cell r="I521" t="str">
            <v>30</v>
          </cell>
          <cell r="J521" t="str">
            <v>x</v>
          </cell>
          <cell r="K521" t="str">
            <v>YES</v>
          </cell>
          <cell r="L521" t="str">
            <v>YES</v>
          </cell>
          <cell r="M521" t="str">
            <v>YES</v>
          </cell>
          <cell r="N521" t="str">
            <v>YES</v>
          </cell>
          <cell r="O521" t="str">
            <v>YES</v>
          </cell>
          <cell r="P521" t="str">
            <v>Arrêté</v>
          </cell>
          <cell r="Q521" t="str">
            <v>YES</v>
          </cell>
          <cell r="R521" t="str">
            <v>Arrêté</v>
          </cell>
          <cell r="S521" t="str">
            <v>YES</v>
          </cell>
          <cell r="T521" t="str">
            <v>YES</v>
          </cell>
          <cell r="U521"/>
          <cell r="V521"/>
          <cell r="W521"/>
          <cell r="X521"/>
          <cell r="Y521" t="str">
            <v>Live</v>
          </cell>
          <cell r="Z521" t="str">
            <v>Bilateral</v>
          </cell>
        </row>
        <row r="522">
          <cell r="F522" t="str">
            <v>LIEMK</v>
          </cell>
          <cell r="G522"/>
          <cell r="H522" t="str">
            <v>295</v>
          </cell>
          <cell r="I522" t="str">
            <v>05</v>
          </cell>
          <cell r="J522" t="str">
            <v>x</v>
          </cell>
          <cell r="K522" t="str">
            <v>YES</v>
          </cell>
          <cell r="L522" t="str">
            <v>YES</v>
          </cell>
          <cell r="M522" t="str">
            <v>N.A</v>
          </cell>
          <cell r="N522"/>
          <cell r="O522" t="str">
            <v>YES</v>
          </cell>
          <cell r="P522" t="str">
            <v>YES</v>
          </cell>
          <cell r="Q522" t="str">
            <v>YES</v>
          </cell>
          <cell r="R522" t="str">
            <v>YES</v>
          </cell>
          <cell r="S522" t="str">
            <v>YES</v>
          </cell>
          <cell r="T522" t="str">
            <v>YES</v>
          </cell>
          <cell r="U522"/>
          <cell r="V522"/>
          <cell r="W522"/>
          <cell r="X522"/>
          <cell r="Y522" t="str">
            <v>Live</v>
          </cell>
          <cell r="Z522" t="str">
            <v>Bilateral</v>
          </cell>
        </row>
        <row r="523">
          <cell r="F523" t="str">
            <v>MWICP</v>
          </cell>
          <cell r="G523" t="str">
            <v>MWIK9</v>
          </cell>
          <cell r="H523" t="str">
            <v>650</v>
          </cell>
          <cell r="I523" t="str">
            <v>01</v>
          </cell>
          <cell r="J523" t="str">
            <v>x</v>
          </cell>
          <cell r="K523" t="str">
            <v>YES</v>
          </cell>
          <cell r="L523" t="str">
            <v>YES</v>
          </cell>
          <cell r="M523" t="str">
            <v>YES</v>
          </cell>
          <cell r="N523" t="str">
            <v>YES</v>
          </cell>
          <cell r="O523" t="str">
            <v>YES</v>
          </cell>
          <cell r="P523" t="str">
            <v>YES</v>
          </cell>
          <cell r="Q523" t="str">
            <v>YES</v>
          </cell>
          <cell r="R523" t="str">
            <v>YES</v>
          </cell>
          <cell r="S523"/>
          <cell r="T523"/>
          <cell r="U523"/>
          <cell r="V523"/>
          <cell r="W523"/>
          <cell r="X523"/>
          <cell r="Y523" t="str">
            <v>Live</v>
          </cell>
          <cell r="Z523" t="str">
            <v>Comfone</v>
          </cell>
        </row>
        <row r="524">
          <cell r="F524" t="str">
            <v>ROMCS</v>
          </cell>
          <cell r="G524"/>
          <cell r="H524" t="str">
            <v>226</v>
          </cell>
          <cell r="I524" t="str">
            <v>03</v>
          </cell>
          <cell r="J524" t="str">
            <v>x</v>
          </cell>
          <cell r="K524" t="str">
            <v>YES</v>
          </cell>
          <cell r="L524" t="str">
            <v>YES</v>
          </cell>
          <cell r="M524" t="str">
            <v>YES</v>
          </cell>
          <cell r="N524" t="str">
            <v>YES</v>
          </cell>
          <cell r="O524" t="str">
            <v>YES</v>
          </cell>
          <cell r="P524" t="str">
            <v>YES</v>
          </cell>
          <cell r="Q524" t="str">
            <v>N.A</v>
          </cell>
          <cell r="R524" t="str">
            <v>YES</v>
          </cell>
          <cell r="S524" t="str">
            <v>YES</v>
          </cell>
          <cell r="T524" t="str">
            <v>YES</v>
          </cell>
          <cell r="U524"/>
          <cell r="V524"/>
          <cell r="W524"/>
          <cell r="X524"/>
          <cell r="Y524" t="str">
            <v>Live</v>
          </cell>
          <cell r="Z524" t="str">
            <v>Bilateral</v>
          </cell>
        </row>
        <row r="525">
          <cell r="F525" t="str">
            <v>SVNMT</v>
          </cell>
          <cell r="G525" t="str">
            <v>SVNK8</v>
          </cell>
          <cell r="H525" t="str">
            <v>293</v>
          </cell>
          <cell r="I525" t="str">
            <v>41</v>
          </cell>
          <cell r="J525" t="str">
            <v>x</v>
          </cell>
          <cell r="K525" t="str">
            <v>YES</v>
          </cell>
          <cell r="L525" t="str">
            <v>YES</v>
          </cell>
          <cell r="M525"/>
          <cell r="N525" t="str">
            <v>YES</v>
          </cell>
          <cell r="O525" t="str">
            <v>YES</v>
          </cell>
          <cell r="P525" t="str">
            <v>Arrêté</v>
          </cell>
          <cell r="Q525" t="str">
            <v>YES</v>
          </cell>
          <cell r="R525" t="str">
            <v>Arrêté</v>
          </cell>
          <cell r="S525" t="str">
            <v>YES</v>
          </cell>
          <cell r="T525" t="str">
            <v>YES</v>
          </cell>
          <cell r="U525"/>
          <cell r="V525"/>
          <cell r="W525"/>
          <cell r="X525"/>
          <cell r="Y525" t="str">
            <v>Live</v>
          </cell>
          <cell r="Z525" t="str">
            <v>Comfone</v>
          </cell>
        </row>
        <row r="526">
          <cell r="F526" t="str">
            <v>BGRVA</v>
          </cell>
          <cell r="G526"/>
          <cell r="H526" t="str">
            <v>284</v>
          </cell>
          <cell r="I526" t="str">
            <v>03</v>
          </cell>
          <cell r="J526" t="str">
            <v>x</v>
          </cell>
          <cell r="K526" t="str">
            <v>YES</v>
          </cell>
          <cell r="L526" t="str">
            <v>YES</v>
          </cell>
          <cell r="M526" t="str">
            <v>YES</v>
          </cell>
          <cell r="N526" t="str">
            <v>YES</v>
          </cell>
          <cell r="O526" t="str">
            <v>YES</v>
          </cell>
          <cell r="P526" t="str">
            <v>YES</v>
          </cell>
          <cell r="Q526" t="str">
            <v>YES</v>
          </cell>
          <cell r="R526" t="str">
            <v>YES</v>
          </cell>
          <cell r="S526" t="str">
            <v>YES</v>
          </cell>
          <cell r="T526" t="str">
            <v>YES</v>
          </cell>
          <cell r="U526"/>
          <cell r="V526"/>
          <cell r="W526"/>
          <cell r="X526"/>
          <cell r="Y526" t="str">
            <v>Live</v>
          </cell>
          <cell r="Z526" t="str">
            <v>Bilateral</v>
          </cell>
        </row>
        <row r="527">
          <cell r="F527" t="str">
            <v>HRVT2</v>
          </cell>
          <cell r="G527"/>
          <cell r="H527" t="str">
            <v>219</v>
          </cell>
          <cell r="I527" t="str">
            <v>02</v>
          </cell>
          <cell r="J527" t="str">
            <v>x</v>
          </cell>
          <cell r="K527" t="str">
            <v>YES</v>
          </cell>
          <cell r="L527" t="str">
            <v>YES</v>
          </cell>
          <cell r="M527" t="str">
            <v>YES</v>
          </cell>
          <cell r="N527" t="str">
            <v>YES</v>
          </cell>
          <cell r="O527" t="str">
            <v>YES</v>
          </cell>
          <cell r="P527" t="str">
            <v>YES</v>
          </cell>
          <cell r="Q527" t="str">
            <v>YES</v>
          </cell>
          <cell r="R527" t="str">
            <v>YES</v>
          </cell>
          <cell r="S527" t="str">
            <v>YES</v>
          </cell>
          <cell r="T527"/>
          <cell r="U527"/>
          <cell r="V527"/>
          <cell r="W527"/>
          <cell r="X527"/>
          <cell r="Y527" t="str">
            <v>Live</v>
          </cell>
          <cell r="Z527" t="str">
            <v>Bilateral</v>
          </cell>
        </row>
        <row r="528">
          <cell r="F528" t="str">
            <v>SVNVG</v>
          </cell>
          <cell r="G528"/>
          <cell r="H528" t="str">
            <v>293</v>
          </cell>
          <cell r="I528" t="str">
            <v>70</v>
          </cell>
          <cell r="J528" t="str">
            <v>x</v>
          </cell>
          <cell r="K528" t="str">
            <v>YES</v>
          </cell>
          <cell r="L528" t="str">
            <v>YES</v>
          </cell>
          <cell r="M528" t="str">
            <v>YES</v>
          </cell>
          <cell r="N528" t="str">
            <v>YES</v>
          </cell>
          <cell r="O528" t="str">
            <v>YES</v>
          </cell>
          <cell r="P528" t="str">
            <v>YES</v>
          </cell>
          <cell r="Q528" t="str">
            <v>YES</v>
          </cell>
          <cell r="R528" t="str">
            <v>YES</v>
          </cell>
          <cell r="S528" t="str">
            <v>YES</v>
          </cell>
          <cell r="T528" t="str">
            <v>YES</v>
          </cell>
          <cell r="U528"/>
          <cell r="V528"/>
          <cell r="W528"/>
          <cell r="X528"/>
          <cell r="Y528" t="str">
            <v>Live</v>
          </cell>
          <cell r="Z528" t="str">
            <v>Bilateral</v>
          </cell>
        </row>
        <row r="529">
          <cell r="F529" t="str">
            <v>BELTN</v>
          </cell>
          <cell r="G529"/>
          <cell r="H529" t="str">
            <v>206</v>
          </cell>
          <cell r="I529" t="str">
            <v>05</v>
          </cell>
          <cell r="J529" t="str">
            <v>x</v>
          </cell>
          <cell r="K529" t="str">
            <v>YES</v>
          </cell>
          <cell r="L529" t="str">
            <v>N.A</v>
          </cell>
          <cell r="M529" t="str">
            <v>YES</v>
          </cell>
          <cell r="N529" t="str">
            <v>N.A</v>
          </cell>
          <cell r="O529" t="str">
            <v>YES</v>
          </cell>
          <cell r="P529" t="str">
            <v>N.A</v>
          </cell>
          <cell r="Q529" t="str">
            <v>YES</v>
          </cell>
          <cell r="R529" t="str">
            <v>N.A</v>
          </cell>
          <cell r="S529" t="str">
            <v>YES</v>
          </cell>
          <cell r="T529" t="str">
            <v>N.A</v>
          </cell>
          <cell r="U529"/>
          <cell r="V529"/>
          <cell r="W529"/>
          <cell r="X529"/>
          <cell r="Y529" t="str">
            <v>Live</v>
          </cell>
          <cell r="Z529" t="str">
            <v>Bilateral</v>
          </cell>
        </row>
        <row r="530">
          <cell r="F530" t="str">
            <v>BELKO</v>
          </cell>
          <cell r="G530"/>
          <cell r="H530" t="str">
            <v>206</v>
          </cell>
          <cell r="I530" t="str">
            <v>20</v>
          </cell>
          <cell r="J530" t="str">
            <v>x</v>
          </cell>
          <cell r="K530" t="str">
            <v>YES</v>
          </cell>
          <cell r="L530" t="str">
            <v>YES</v>
          </cell>
          <cell r="M530" t="str">
            <v>YES</v>
          </cell>
          <cell r="N530" t="str">
            <v>YES</v>
          </cell>
          <cell r="O530" t="str">
            <v>YES</v>
          </cell>
          <cell r="P530" t="str">
            <v>YES</v>
          </cell>
          <cell r="Q530" t="str">
            <v>YES</v>
          </cell>
          <cell r="R530" t="str">
            <v>YES</v>
          </cell>
          <cell r="S530" t="str">
            <v>YES</v>
          </cell>
          <cell r="T530" t="str">
            <v>YES</v>
          </cell>
          <cell r="U530"/>
          <cell r="V530"/>
          <cell r="W530"/>
          <cell r="X530"/>
          <cell r="Y530" t="str">
            <v>Live</v>
          </cell>
          <cell r="Z530" t="str">
            <v>Bilateral</v>
          </cell>
        </row>
        <row r="531">
          <cell r="F531" t="str">
            <v>DNKDM</v>
          </cell>
          <cell r="G531"/>
          <cell r="H531" t="str">
            <v>238</v>
          </cell>
          <cell r="I531" t="str">
            <v>02</v>
          </cell>
          <cell r="J531" t="str">
            <v>x</v>
          </cell>
          <cell r="K531" t="str">
            <v>YES</v>
          </cell>
          <cell r="L531" t="str">
            <v>YES</v>
          </cell>
          <cell r="M531" t="str">
            <v>N.A</v>
          </cell>
          <cell r="N531"/>
          <cell r="O531" t="str">
            <v>YES</v>
          </cell>
          <cell r="P531" t="str">
            <v>Arrêté</v>
          </cell>
          <cell r="Q531" t="str">
            <v>YES</v>
          </cell>
          <cell r="R531" t="str">
            <v>Arrêté</v>
          </cell>
          <cell r="S531" t="str">
            <v>YES</v>
          </cell>
          <cell r="T531" t="str">
            <v>YES</v>
          </cell>
          <cell r="U531"/>
          <cell r="V531"/>
          <cell r="W531"/>
          <cell r="X531"/>
          <cell r="Y531" t="str">
            <v>Live</v>
          </cell>
          <cell r="Z531" t="str">
            <v>Bilateral</v>
          </cell>
        </row>
        <row r="532">
          <cell r="F532" t="str">
            <v>NORMC</v>
          </cell>
          <cell r="G532"/>
          <cell r="H532" t="str">
            <v>901</v>
          </cell>
          <cell r="I532" t="str">
            <v>12</v>
          </cell>
          <cell r="J532" t="str">
            <v>x</v>
          </cell>
          <cell r="K532" t="str">
            <v>N.A</v>
          </cell>
          <cell r="L532" t="str">
            <v>YES</v>
          </cell>
          <cell r="M532" t="str">
            <v>N.A</v>
          </cell>
          <cell r="N532" t="str">
            <v>YES</v>
          </cell>
          <cell r="O532" t="str">
            <v>N.A</v>
          </cell>
          <cell r="P532" t="str">
            <v>YES</v>
          </cell>
          <cell r="Q532" t="str">
            <v>N.A</v>
          </cell>
          <cell r="R532" t="str">
            <v>YES</v>
          </cell>
          <cell r="S532" t="str">
            <v>N.A</v>
          </cell>
          <cell r="T532" t="str">
            <v>YES</v>
          </cell>
          <cell r="U532"/>
          <cell r="V532"/>
          <cell r="W532"/>
          <cell r="X532"/>
          <cell r="Y532" t="str">
            <v>Live</v>
          </cell>
          <cell r="Z532" t="str">
            <v>Bilateral</v>
          </cell>
        </row>
        <row r="533">
          <cell r="F533" t="str">
            <v>MMRTN</v>
          </cell>
          <cell r="G533" t="str">
            <v>MMRK8</v>
          </cell>
          <cell r="H533" t="str">
            <v>414</v>
          </cell>
          <cell r="I533" t="str">
            <v>06</v>
          </cell>
          <cell r="J533" t="str">
            <v>x</v>
          </cell>
          <cell r="K533" t="str">
            <v>YES</v>
          </cell>
          <cell r="L533" t="str">
            <v>YES</v>
          </cell>
          <cell r="M533" t="str">
            <v>YES</v>
          </cell>
          <cell r="N533" t="str">
            <v>YES</v>
          </cell>
          <cell r="O533" t="str">
            <v>YES</v>
          </cell>
          <cell r="P533" t="str">
            <v>YES</v>
          </cell>
          <cell r="Q533" t="str">
            <v>YES</v>
          </cell>
          <cell r="R533" t="str">
            <v>YES</v>
          </cell>
          <cell r="S533" t="str">
            <v>YES</v>
          </cell>
          <cell r="T533" t="str">
            <v>YES</v>
          </cell>
          <cell r="U533"/>
          <cell r="V533"/>
          <cell r="W533"/>
          <cell r="X533"/>
          <cell r="Y533" t="str">
            <v>Live</v>
          </cell>
          <cell r="Z533" t="str">
            <v>Comfone</v>
          </cell>
        </row>
        <row r="534">
          <cell r="F534" t="str">
            <v>NORTM</v>
          </cell>
          <cell r="G534"/>
          <cell r="H534" t="str">
            <v>242</v>
          </cell>
          <cell r="I534" t="str">
            <v>01</v>
          </cell>
          <cell r="J534" t="str">
            <v>x</v>
          </cell>
          <cell r="K534" t="str">
            <v>YES</v>
          </cell>
          <cell r="L534" t="str">
            <v>YES</v>
          </cell>
          <cell r="M534" t="str">
            <v>YES</v>
          </cell>
          <cell r="N534" t="str">
            <v>YES</v>
          </cell>
          <cell r="O534" t="str">
            <v>YES</v>
          </cell>
          <cell r="P534" t="str">
            <v>Arrêté</v>
          </cell>
          <cell r="Q534" t="str">
            <v>YES</v>
          </cell>
          <cell r="R534" t="str">
            <v>Arrêté</v>
          </cell>
          <cell r="S534" t="str">
            <v>YES</v>
          </cell>
          <cell r="T534" t="str">
            <v>YES</v>
          </cell>
          <cell r="U534"/>
          <cell r="V534"/>
          <cell r="W534"/>
          <cell r="X534"/>
          <cell r="Y534" t="str">
            <v>Live</v>
          </cell>
          <cell r="Z534" t="str">
            <v>Bilateral</v>
          </cell>
        </row>
        <row r="535">
          <cell r="F535" t="str">
            <v>SWEEP</v>
          </cell>
          <cell r="G535"/>
          <cell r="H535" t="str">
            <v>240</v>
          </cell>
          <cell r="I535" t="str">
            <v>08</v>
          </cell>
          <cell r="J535" t="str">
            <v>x</v>
          </cell>
          <cell r="K535" t="str">
            <v>YES</v>
          </cell>
          <cell r="L535" t="str">
            <v>YES</v>
          </cell>
          <cell r="M535"/>
          <cell r="N535" t="str">
            <v>YES</v>
          </cell>
          <cell r="O535" t="str">
            <v>YES</v>
          </cell>
          <cell r="P535" t="str">
            <v>YES</v>
          </cell>
          <cell r="Q535" t="str">
            <v>YES</v>
          </cell>
          <cell r="R535" t="str">
            <v>YES</v>
          </cell>
          <cell r="S535" t="str">
            <v>YES</v>
          </cell>
          <cell r="T535" t="str">
            <v>YES</v>
          </cell>
          <cell r="U535"/>
          <cell r="V535"/>
          <cell r="W535"/>
          <cell r="X535"/>
          <cell r="Y535" t="str">
            <v>Live</v>
          </cell>
          <cell r="Z535" t="str">
            <v>Bilateral</v>
          </cell>
        </row>
        <row r="536">
          <cell r="F536" t="str">
            <v>SWECN</v>
          </cell>
          <cell r="G536"/>
          <cell r="H536" t="str">
            <v>240</v>
          </cell>
          <cell r="I536" t="str">
            <v>42</v>
          </cell>
          <cell r="J536" t="str">
            <v>x</v>
          </cell>
          <cell r="K536" t="str">
            <v>YES</v>
          </cell>
          <cell r="L536" t="str">
            <v>N.A</v>
          </cell>
          <cell r="M536" t="str">
            <v>N.A</v>
          </cell>
          <cell r="N536" t="str">
            <v>N.A</v>
          </cell>
          <cell r="O536" t="str">
            <v>YES</v>
          </cell>
          <cell r="P536" t="str">
            <v>N.A</v>
          </cell>
          <cell r="Q536" t="str">
            <v>YES</v>
          </cell>
          <cell r="R536" t="str">
            <v>N.A</v>
          </cell>
          <cell r="S536" t="str">
            <v>YES</v>
          </cell>
          <cell r="T536" t="str">
            <v>N.A</v>
          </cell>
          <cell r="U536"/>
          <cell r="V536"/>
          <cell r="W536"/>
          <cell r="X536"/>
          <cell r="Y536" t="str">
            <v>Live</v>
          </cell>
          <cell r="Z536" t="str">
            <v>Bilateral</v>
          </cell>
        </row>
        <row r="537">
          <cell r="F537" t="str">
            <v>SWETG</v>
          </cell>
          <cell r="G537"/>
          <cell r="H537" t="str">
            <v>240</v>
          </cell>
          <cell r="I537" t="str">
            <v>06</v>
          </cell>
          <cell r="J537" t="str">
            <v>x</v>
          </cell>
          <cell r="K537" t="str">
            <v>YES</v>
          </cell>
          <cell r="L537" t="str">
            <v>N.A</v>
          </cell>
          <cell r="M537" t="str">
            <v>N.A</v>
          </cell>
          <cell r="N537" t="str">
            <v>N.A</v>
          </cell>
          <cell r="O537" t="str">
            <v>YES</v>
          </cell>
          <cell r="P537" t="str">
            <v>N.A</v>
          </cell>
          <cell r="Q537" t="str">
            <v>YES</v>
          </cell>
          <cell r="R537" t="str">
            <v>N.A</v>
          </cell>
          <cell r="S537" t="str">
            <v>YES</v>
          </cell>
          <cell r="T537" t="str">
            <v>N.A</v>
          </cell>
          <cell r="U537"/>
          <cell r="V537"/>
          <cell r="W537"/>
          <cell r="X537"/>
          <cell r="Y537" t="str">
            <v>Live</v>
          </cell>
          <cell r="Z537" t="str">
            <v>Bilateral</v>
          </cell>
        </row>
        <row r="538">
          <cell r="F538" t="str">
            <v>NLDTM</v>
          </cell>
          <cell r="G538"/>
          <cell r="H538" t="str">
            <v>204</v>
          </cell>
          <cell r="I538" t="str">
            <v>12</v>
          </cell>
          <cell r="J538" t="str">
            <v>x</v>
          </cell>
          <cell r="K538" t="str">
            <v>YES</v>
          </cell>
          <cell r="L538" t="str">
            <v>N.A</v>
          </cell>
          <cell r="M538" t="str">
            <v>YES</v>
          </cell>
          <cell r="N538" t="str">
            <v>N.A</v>
          </cell>
          <cell r="O538" t="str">
            <v>YES</v>
          </cell>
          <cell r="P538" t="str">
            <v>N.A</v>
          </cell>
          <cell r="Q538" t="str">
            <v>YES</v>
          </cell>
          <cell r="R538" t="str">
            <v>N.A</v>
          </cell>
          <cell r="S538"/>
          <cell r="T538" t="str">
            <v>N.A</v>
          </cell>
          <cell r="U538"/>
          <cell r="V538"/>
          <cell r="W538"/>
          <cell r="X538"/>
          <cell r="Y538" t="str">
            <v>Live</v>
          </cell>
          <cell r="Z538" t="str">
            <v>Bilateral</v>
          </cell>
        </row>
        <row r="539">
          <cell r="F539" t="str">
            <v>GTMSC</v>
          </cell>
          <cell r="G539" t="str">
            <v>GTMK9</v>
          </cell>
          <cell r="H539" t="str">
            <v>704</v>
          </cell>
          <cell r="I539" t="str">
            <v>01</v>
          </cell>
          <cell r="J539" t="str">
            <v>x</v>
          </cell>
          <cell r="K539" t="str">
            <v>YES</v>
          </cell>
          <cell r="L539" t="str">
            <v>YES</v>
          </cell>
          <cell r="M539"/>
          <cell r="N539" t="str">
            <v>YES</v>
          </cell>
          <cell r="O539" t="str">
            <v>YES</v>
          </cell>
          <cell r="P539" t="str">
            <v>YES</v>
          </cell>
          <cell r="Q539" t="str">
            <v>YES</v>
          </cell>
          <cell r="R539" t="str">
            <v>YES</v>
          </cell>
          <cell r="S539"/>
          <cell r="T539"/>
          <cell r="U539"/>
          <cell r="V539"/>
          <cell r="W539"/>
          <cell r="X539"/>
          <cell r="Y539" t="str">
            <v>Live</v>
          </cell>
          <cell r="Z539" t="str">
            <v>Comfone</v>
          </cell>
        </row>
        <row r="540">
          <cell r="F540" t="str">
            <v>ESTEM</v>
          </cell>
          <cell r="G540"/>
          <cell r="H540" t="str">
            <v>248</v>
          </cell>
          <cell r="I540" t="str">
            <v>01</v>
          </cell>
          <cell r="J540" t="str">
            <v>x</v>
          </cell>
          <cell r="K540" t="str">
            <v>YES</v>
          </cell>
          <cell r="L540" t="str">
            <v>YES</v>
          </cell>
          <cell r="M540" t="str">
            <v>YES</v>
          </cell>
          <cell r="N540" t="str">
            <v>YES</v>
          </cell>
          <cell r="O540" t="str">
            <v>YES</v>
          </cell>
          <cell r="P540" t="str">
            <v>YES</v>
          </cell>
          <cell r="Q540" t="str">
            <v>YES</v>
          </cell>
          <cell r="R540" t="str">
            <v>YES</v>
          </cell>
          <cell r="S540" t="str">
            <v>YES</v>
          </cell>
          <cell r="T540" t="str">
            <v>YES</v>
          </cell>
          <cell r="U540"/>
          <cell r="V540"/>
          <cell r="W540"/>
          <cell r="X540"/>
          <cell r="Y540" t="str">
            <v>Live</v>
          </cell>
          <cell r="Z540" t="str">
            <v>Bilateral</v>
          </cell>
        </row>
        <row r="541">
          <cell r="F541" t="str">
            <v>LTUOM</v>
          </cell>
          <cell r="G541"/>
          <cell r="H541" t="str">
            <v>246</v>
          </cell>
          <cell r="I541" t="str">
            <v>01</v>
          </cell>
          <cell r="J541" t="str">
            <v>x</v>
          </cell>
          <cell r="K541" t="str">
            <v>YES</v>
          </cell>
          <cell r="L541" t="str">
            <v>YES</v>
          </cell>
          <cell r="M541" t="str">
            <v>YES</v>
          </cell>
          <cell r="N541" t="str">
            <v>YES</v>
          </cell>
          <cell r="O541" t="str">
            <v>YES</v>
          </cell>
          <cell r="P541" t="str">
            <v>Arrêté</v>
          </cell>
          <cell r="Q541" t="str">
            <v>YES</v>
          </cell>
          <cell r="R541" t="str">
            <v>Arrêté</v>
          </cell>
          <cell r="S541" t="str">
            <v>YES</v>
          </cell>
          <cell r="T541" t="str">
            <v>YES</v>
          </cell>
          <cell r="U541"/>
          <cell r="V541"/>
          <cell r="W541"/>
          <cell r="X541"/>
          <cell r="Y541" t="str">
            <v>Live</v>
          </cell>
          <cell r="Z541" t="str">
            <v>Bilateral</v>
          </cell>
        </row>
        <row r="542">
          <cell r="F542" t="str">
            <v>DNKIA</v>
          </cell>
          <cell r="G542"/>
          <cell r="H542" t="str">
            <v>238</v>
          </cell>
          <cell r="I542" t="str">
            <v>20</v>
          </cell>
          <cell r="J542" t="str">
            <v>x</v>
          </cell>
          <cell r="K542" t="str">
            <v>YES</v>
          </cell>
          <cell r="L542" t="str">
            <v>YES</v>
          </cell>
          <cell r="M542" t="str">
            <v>N.A</v>
          </cell>
          <cell r="N542" t="str">
            <v>YES</v>
          </cell>
          <cell r="O542" t="str">
            <v>YES</v>
          </cell>
          <cell r="P542" t="str">
            <v>Arrêté</v>
          </cell>
          <cell r="Q542" t="str">
            <v>YES</v>
          </cell>
          <cell r="R542" t="str">
            <v>Arrêté</v>
          </cell>
          <cell r="S542" t="str">
            <v>YES</v>
          </cell>
          <cell r="T542" t="str">
            <v>YES</v>
          </cell>
          <cell r="U542"/>
          <cell r="V542"/>
          <cell r="W542"/>
          <cell r="X542"/>
          <cell r="Y542" t="str">
            <v>Live</v>
          </cell>
          <cell r="Z542" t="str">
            <v>Bilateral</v>
          </cell>
        </row>
        <row r="543">
          <cell r="F543" t="str">
            <v>NORNN</v>
          </cell>
          <cell r="G543"/>
          <cell r="H543" t="str">
            <v>242</v>
          </cell>
          <cell r="I543" t="str">
            <v>05</v>
          </cell>
          <cell r="J543" t="str">
            <v>x</v>
          </cell>
          <cell r="K543" t="str">
            <v>YES</v>
          </cell>
          <cell r="L543" t="str">
            <v>N.A</v>
          </cell>
          <cell r="M543" t="str">
            <v>YES</v>
          </cell>
          <cell r="N543" t="str">
            <v>N.A</v>
          </cell>
          <cell r="O543" t="str">
            <v>YES</v>
          </cell>
          <cell r="P543" t="str">
            <v>N.A</v>
          </cell>
          <cell r="Q543" t="str">
            <v>YES</v>
          </cell>
          <cell r="R543" t="str">
            <v>N.A</v>
          </cell>
          <cell r="S543" t="str">
            <v>YES</v>
          </cell>
          <cell r="T543" t="str">
            <v>N.A</v>
          </cell>
          <cell r="U543"/>
          <cell r="V543"/>
          <cell r="W543"/>
          <cell r="X543"/>
          <cell r="Y543" t="str">
            <v>Live</v>
          </cell>
          <cell r="Z543" t="str">
            <v>Bilateral</v>
          </cell>
        </row>
        <row r="544">
          <cell r="F544" t="str">
            <v>FINTF</v>
          </cell>
          <cell r="G544"/>
          <cell r="H544" t="str">
            <v>244</v>
          </cell>
          <cell r="I544" t="str">
            <v>91</v>
          </cell>
          <cell r="J544" t="str">
            <v>x</v>
          </cell>
          <cell r="K544" t="str">
            <v>YES</v>
          </cell>
          <cell r="L544" t="str">
            <v>YES</v>
          </cell>
          <cell r="M544" t="str">
            <v>N.A</v>
          </cell>
          <cell r="N544" t="str">
            <v>YES</v>
          </cell>
          <cell r="O544" t="str">
            <v>YES</v>
          </cell>
          <cell r="P544" t="str">
            <v>YES</v>
          </cell>
          <cell r="Q544" t="str">
            <v>YES</v>
          </cell>
          <cell r="R544" t="str">
            <v>YES</v>
          </cell>
          <cell r="S544" t="str">
            <v>YES</v>
          </cell>
          <cell r="T544" t="str">
            <v>YES</v>
          </cell>
          <cell r="U544"/>
          <cell r="V544"/>
          <cell r="W544"/>
          <cell r="X544"/>
          <cell r="Y544" t="str">
            <v>Live</v>
          </cell>
          <cell r="Z544" t="str">
            <v>Bilateral</v>
          </cell>
        </row>
        <row r="545">
          <cell r="F545" t="str">
            <v>SWETR</v>
          </cell>
          <cell r="G545"/>
          <cell r="H545" t="str">
            <v>240</v>
          </cell>
          <cell r="I545" t="str">
            <v>01</v>
          </cell>
          <cell r="J545" t="str">
            <v>x</v>
          </cell>
          <cell r="K545" t="str">
            <v>YES</v>
          </cell>
          <cell r="L545" t="str">
            <v>YES</v>
          </cell>
          <cell r="M545" t="str">
            <v>YES</v>
          </cell>
          <cell r="N545" t="str">
            <v>YES</v>
          </cell>
          <cell r="O545" t="str">
            <v>YES</v>
          </cell>
          <cell r="P545" t="str">
            <v>YES</v>
          </cell>
          <cell r="Q545" t="str">
            <v>YES</v>
          </cell>
          <cell r="R545" t="str">
            <v>YES</v>
          </cell>
          <cell r="S545" t="str">
            <v>YES</v>
          </cell>
          <cell r="T545" t="str">
            <v>YES</v>
          </cell>
          <cell r="U545"/>
          <cell r="V545"/>
          <cell r="W545"/>
          <cell r="X545"/>
          <cell r="Y545" t="str">
            <v>Live</v>
          </cell>
          <cell r="Z545" t="str">
            <v>Bilateral</v>
          </cell>
        </row>
        <row r="546">
          <cell r="F546" t="str">
            <v>PNGPM</v>
          </cell>
          <cell r="G546" t="str">
            <v>PNGK9</v>
          </cell>
          <cell r="H546" t="str">
            <v>537</v>
          </cell>
          <cell r="I546" t="str">
            <v>01</v>
          </cell>
          <cell r="J546" t="str">
            <v>x</v>
          </cell>
          <cell r="K546" t="str">
            <v>YES</v>
          </cell>
          <cell r="L546" t="str">
            <v>YES</v>
          </cell>
          <cell r="M546" t="str">
            <v>N.A</v>
          </cell>
          <cell r="N546" t="str">
            <v>N.A</v>
          </cell>
          <cell r="O546" t="str">
            <v>N.A</v>
          </cell>
          <cell r="P546" t="str">
            <v>N.A</v>
          </cell>
          <cell r="Q546" t="str">
            <v>N.A</v>
          </cell>
          <cell r="R546" t="str">
            <v>N.A</v>
          </cell>
          <cell r="S546" t="str">
            <v>N.A</v>
          </cell>
          <cell r="T546" t="str">
            <v>N.A</v>
          </cell>
          <cell r="U546"/>
          <cell r="V546"/>
          <cell r="W546"/>
          <cell r="X546"/>
          <cell r="Y546" t="str">
            <v>Terminated</v>
          </cell>
          <cell r="Z546" t="str">
            <v>Comfone</v>
          </cell>
        </row>
        <row r="547">
          <cell r="F547" t="str">
            <v>KENTK</v>
          </cell>
          <cell r="G547" t="str">
            <v>KENFT</v>
          </cell>
          <cell r="H547" t="str">
            <v>639</v>
          </cell>
          <cell r="I547" t="str">
            <v>07</v>
          </cell>
          <cell r="J547" t="str">
            <v>x</v>
          </cell>
          <cell r="K547" t="str">
            <v>YES</v>
          </cell>
          <cell r="L547" t="str">
            <v>YES</v>
          </cell>
          <cell r="M547" t="str">
            <v>YES</v>
          </cell>
          <cell r="N547" t="str">
            <v>YES</v>
          </cell>
          <cell r="O547" t="str">
            <v>YES</v>
          </cell>
          <cell r="P547" t="str">
            <v>YES</v>
          </cell>
          <cell r="Q547" t="str">
            <v>YES</v>
          </cell>
          <cell r="R547" t="str">
            <v>YES</v>
          </cell>
          <cell r="S547" t="str">
            <v>YES</v>
          </cell>
          <cell r="T547" t="str">
            <v>Planned</v>
          </cell>
          <cell r="U547"/>
          <cell r="V547"/>
          <cell r="W547"/>
          <cell r="X547"/>
          <cell r="Y547" t="str">
            <v>Live</v>
          </cell>
          <cell r="Z547" t="str">
            <v>Orange Hub</v>
          </cell>
        </row>
        <row r="548">
          <cell r="F548" t="str">
            <v>ZAFTM</v>
          </cell>
          <cell r="G548" t="str">
            <v>ZAFK8</v>
          </cell>
          <cell r="H548" t="str">
            <v>655</v>
          </cell>
          <cell r="I548" t="str">
            <v>02</v>
          </cell>
          <cell r="J548" t="str">
            <v>x</v>
          </cell>
          <cell r="K548" t="str">
            <v>YES</v>
          </cell>
          <cell r="L548" t="str">
            <v>YES</v>
          </cell>
          <cell r="M548"/>
          <cell r="N548" t="str">
            <v>YES</v>
          </cell>
          <cell r="O548" t="str">
            <v>YES</v>
          </cell>
          <cell r="P548" t="str">
            <v>YES</v>
          </cell>
          <cell r="Q548" t="str">
            <v>YES</v>
          </cell>
          <cell r="R548" t="str">
            <v>YES</v>
          </cell>
          <cell r="S548" t="str">
            <v>YES</v>
          </cell>
          <cell r="T548" t="str">
            <v>YES</v>
          </cell>
          <cell r="U548"/>
          <cell r="V548"/>
          <cell r="W548"/>
          <cell r="X548"/>
          <cell r="Y548" t="str">
            <v>Live</v>
          </cell>
          <cell r="Z548" t="str">
            <v>Comfone</v>
          </cell>
        </row>
        <row r="549">
          <cell r="F549" t="str">
            <v>IDNTS</v>
          </cell>
          <cell r="G549"/>
          <cell r="H549" t="str">
            <v>510</v>
          </cell>
          <cell r="I549" t="str">
            <v>10</v>
          </cell>
          <cell r="J549" t="str">
            <v>x</v>
          </cell>
          <cell r="K549" t="str">
            <v>YES</v>
          </cell>
          <cell r="L549" t="str">
            <v>YES</v>
          </cell>
          <cell r="M549"/>
          <cell r="N549"/>
          <cell r="O549" t="str">
            <v>YES</v>
          </cell>
          <cell r="P549" t="str">
            <v>Arrêté</v>
          </cell>
          <cell r="Q549" t="str">
            <v>YES</v>
          </cell>
          <cell r="R549" t="str">
            <v>Arrêté</v>
          </cell>
          <cell r="S549"/>
          <cell r="T549"/>
          <cell r="U549"/>
          <cell r="V549"/>
          <cell r="W549"/>
          <cell r="X549"/>
          <cell r="Y549" t="str">
            <v>Live</v>
          </cell>
          <cell r="Z549" t="str">
            <v>Bilateral</v>
          </cell>
        </row>
        <row r="550">
          <cell r="F550" t="str">
            <v>COMTM</v>
          </cell>
          <cell r="G550"/>
          <cell r="H550" t="str">
            <v>654</v>
          </cell>
          <cell r="I550" t="str">
            <v>02</v>
          </cell>
          <cell r="J550" t="str">
            <v>x</v>
          </cell>
          <cell r="K550" t="str">
            <v>N.A</v>
          </cell>
          <cell r="L550" t="str">
            <v>YES</v>
          </cell>
          <cell r="M550" t="str">
            <v>YES</v>
          </cell>
          <cell r="N550" t="str">
            <v>YES</v>
          </cell>
          <cell r="O550" t="str">
            <v>YES</v>
          </cell>
          <cell r="P550" t="str">
            <v>YES</v>
          </cell>
          <cell r="Q550" t="str">
            <v>YES</v>
          </cell>
          <cell r="R550" t="str">
            <v>YES</v>
          </cell>
          <cell r="S550" t="str">
            <v>N.A</v>
          </cell>
          <cell r="T550" t="str">
            <v>N.A</v>
          </cell>
          <cell r="U550"/>
          <cell r="V550"/>
          <cell r="W550"/>
          <cell r="X550"/>
          <cell r="Y550" t="str">
            <v>Live</v>
          </cell>
          <cell r="Z550" t="str">
            <v>Bilateral</v>
          </cell>
        </row>
        <row r="551">
          <cell r="F551" t="str">
            <v>MDGTM</v>
          </cell>
          <cell r="G551"/>
          <cell r="H551" t="str">
            <v>646</v>
          </cell>
          <cell r="I551" t="str">
            <v>04</v>
          </cell>
          <cell r="J551" t="str">
            <v>x</v>
          </cell>
          <cell r="K551" t="str">
            <v>YES</v>
          </cell>
          <cell r="L551" t="str">
            <v>YES</v>
          </cell>
          <cell r="M551" t="str">
            <v>YES</v>
          </cell>
          <cell r="N551" t="str">
            <v>YES</v>
          </cell>
          <cell r="O551" t="str">
            <v>YES</v>
          </cell>
          <cell r="P551" t="str">
            <v>YES</v>
          </cell>
          <cell r="Q551" t="str">
            <v>YES</v>
          </cell>
          <cell r="R551" t="str">
            <v>YES</v>
          </cell>
          <cell r="S551" t="str">
            <v>YES</v>
          </cell>
          <cell r="T551" t="str">
            <v>YES</v>
          </cell>
          <cell r="U551"/>
          <cell r="V551"/>
          <cell r="W551"/>
          <cell r="X551"/>
          <cell r="Y551" t="str">
            <v>Live</v>
          </cell>
          <cell r="Z551" t="str">
            <v>Bilateral</v>
          </cell>
        </row>
        <row r="552">
          <cell r="F552" t="str">
            <v>USATL</v>
          </cell>
          <cell r="G552"/>
          <cell r="H552" t="str">
            <v>310</v>
          </cell>
          <cell r="I552" t="str">
            <v>840</v>
          </cell>
          <cell r="J552" t="str">
            <v>x</v>
          </cell>
          <cell r="K552" t="str">
            <v>YES</v>
          </cell>
          <cell r="L552"/>
          <cell r="M552" t="str">
            <v>YES</v>
          </cell>
          <cell r="N552"/>
          <cell r="O552" t="str">
            <v>YES</v>
          </cell>
          <cell r="P552"/>
          <cell r="Q552" t="str">
            <v>YES</v>
          </cell>
          <cell r="R552"/>
          <cell r="S552" t="str">
            <v>YES</v>
          </cell>
          <cell r="T552"/>
          <cell r="U552"/>
          <cell r="V552"/>
          <cell r="W552"/>
          <cell r="X552"/>
          <cell r="Y552" t="str">
            <v>Live</v>
          </cell>
          <cell r="Z552" t="str">
            <v>Bilateral</v>
          </cell>
        </row>
        <row r="553">
          <cell r="F553" t="str">
            <v>USATY</v>
          </cell>
          <cell r="G553" t="str">
            <v>USAJ6</v>
          </cell>
          <cell r="H553" t="str">
            <v>311</v>
          </cell>
          <cell r="I553" t="str">
            <v>210</v>
          </cell>
          <cell r="J553" t="str">
            <v>x</v>
          </cell>
          <cell r="K553" t="str">
            <v>YES</v>
          </cell>
          <cell r="L553" t="str">
            <v>N.A</v>
          </cell>
          <cell r="M553" t="str">
            <v>N.A</v>
          </cell>
          <cell r="N553" t="str">
            <v>N.A</v>
          </cell>
          <cell r="O553" t="str">
            <v>YES</v>
          </cell>
          <cell r="P553" t="str">
            <v>N.A</v>
          </cell>
          <cell r="Q553" t="str">
            <v>YES</v>
          </cell>
          <cell r="R553" t="str">
            <v>N.A</v>
          </cell>
          <cell r="S553" t="str">
            <v>YES</v>
          </cell>
          <cell r="T553" t="str">
            <v>N.A</v>
          </cell>
          <cell r="U553"/>
          <cell r="V553"/>
          <cell r="W553"/>
          <cell r="X553"/>
          <cell r="Y553" t="str">
            <v>Live</v>
          </cell>
          <cell r="Z553" t="str">
            <v>Comfone</v>
          </cell>
        </row>
        <row r="554">
          <cell r="F554" t="str">
            <v>CANTS</v>
          </cell>
          <cell r="G554"/>
          <cell r="H554" t="str">
            <v>302</v>
          </cell>
          <cell r="I554" t="str">
            <v>220</v>
          </cell>
          <cell r="J554" t="str">
            <v>x</v>
          </cell>
          <cell r="K554" t="str">
            <v>YES</v>
          </cell>
          <cell r="L554" t="str">
            <v>YES</v>
          </cell>
          <cell r="M554" t="str">
            <v>YES</v>
          </cell>
          <cell r="N554" t="str">
            <v>YES</v>
          </cell>
          <cell r="O554" t="str">
            <v>YES</v>
          </cell>
          <cell r="P554" t="str">
            <v>YES</v>
          </cell>
          <cell r="Q554" t="str">
            <v>YES</v>
          </cell>
          <cell r="R554" t="str">
            <v>YES</v>
          </cell>
          <cell r="S554" t="str">
            <v>YES</v>
          </cell>
          <cell r="T554" t="str">
            <v>YES</v>
          </cell>
          <cell r="U554"/>
          <cell r="V554"/>
          <cell r="W554"/>
          <cell r="X554"/>
          <cell r="Y554" t="str">
            <v>Live</v>
          </cell>
          <cell r="Z554" t="str">
            <v>Bilateral</v>
          </cell>
        </row>
        <row r="555">
          <cell r="F555" t="str">
            <v>ARETH</v>
          </cell>
          <cell r="G555"/>
          <cell r="H555" t="str">
            <v>901</v>
          </cell>
          <cell r="I555" t="str">
            <v>05</v>
          </cell>
          <cell r="J555" t="str">
            <v>x</v>
          </cell>
          <cell r="K555" t="str">
            <v>YES</v>
          </cell>
          <cell r="L555" t="str">
            <v>YES</v>
          </cell>
          <cell r="M555" t="str">
            <v>YES</v>
          </cell>
          <cell r="N555"/>
          <cell r="O555"/>
          <cell r="P555" t="str">
            <v>YES</v>
          </cell>
          <cell r="Q555"/>
          <cell r="R555" t="str">
            <v>YES</v>
          </cell>
          <cell r="S555"/>
          <cell r="T555"/>
          <cell r="U555"/>
          <cell r="V555"/>
          <cell r="W555"/>
          <cell r="X555"/>
          <cell r="Y555" t="str">
            <v>Live</v>
          </cell>
          <cell r="Z555" t="str">
            <v>Bilateral</v>
          </cell>
        </row>
        <row r="556">
          <cell r="F556" t="str">
            <v>SENSG</v>
          </cell>
          <cell r="G556" t="str">
            <v>SENK8</v>
          </cell>
          <cell r="H556" t="str">
            <v>608</v>
          </cell>
          <cell r="I556" t="str">
            <v>02</v>
          </cell>
          <cell r="J556" t="str">
            <v>x</v>
          </cell>
          <cell r="K556" t="str">
            <v>YES</v>
          </cell>
          <cell r="L556" t="str">
            <v>YES</v>
          </cell>
          <cell r="M556" t="str">
            <v>YES</v>
          </cell>
          <cell r="N556" t="str">
            <v>YES</v>
          </cell>
          <cell r="O556" t="str">
            <v>YES</v>
          </cell>
          <cell r="P556" t="str">
            <v>YES</v>
          </cell>
          <cell r="Q556" t="str">
            <v>YES</v>
          </cell>
          <cell r="R556" t="str">
            <v>YES</v>
          </cell>
          <cell r="S556" t="str">
            <v>YES</v>
          </cell>
          <cell r="T556" t="str">
            <v>YES</v>
          </cell>
          <cell r="U556"/>
          <cell r="V556"/>
          <cell r="W556"/>
          <cell r="X556"/>
          <cell r="Y556" t="str">
            <v>Live</v>
          </cell>
          <cell r="Z556" t="str">
            <v>Comfone</v>
          </cell>
        </row>
        <row r="557">
          <cell r="F557" t="str">
            <v>BRASP</v>
          </cell>
          <cell r="G557"/>
          <cell r="H557" t="str">
            <v>724</v>
          </cell>
          <cell r="I557" t="str">
            <v>03</v>
          </cell>
          <cell r="J557" t="str">
            <v>x</v>
          </cell>
          <cell r="K557" t="str">
            <v>YES</v>
          </cell>
          <cell r="L557" t="str">
            <v>YES</v>
          </cell>
          <cell r="M557" t="str">
            <v>YES</v>
          </cell>
          <cell r="N557" t="str">
            <v>YES</v>
          </cell>
          <cell r="O557" t="str">
            <v>YES</v>
          </cell>
          <cell r="P557" t="str">
            <v>YES</v>
          </cell>
          <cell r="Q557" t="str">
            <v>YES</v>
          </cell>
          <cell r="R557" t="str">
            <v>YES</v>
          </cell>
          <cell r="S557" t="str">
            <v>YES</v>
          </cell>
          <cell r="T557" t="str">
            <v>YES</v>
          </cell>
          <cell r="U557"/>
          <cell r="V557"/>
          <cell r="W557"/>
          <cell r="X557"/>
          <cell r="Y557" t="str">
            <v>Live</v>
          </cell>
          <cell r="Z557" t="str">
            <v>Bilateral</v>
          </cell>
        </row>
        <row r="558">
          <cell r="F558" t="str">
            <v>BRACS</v>
          </cell>
          <cell r="G558"/>
          <cell r="H558" t="str">
            <v>724</v>
          </cell>
          <cell r="I558" t="str">
            <v>04</v>
          </cell>
          <cell r="J558" t="str">
            <v>x</v>
          </cell>
          <cell r="K558" t="str">
            <v>YES</v>
          </cell>
          <cell r="L558" t="str">
            <v>YES</v>
          </cell>
          <cell r="M558" t="str">
            <v>YES</v>
          </cell>
          <cell r="N558" t="str">
            <v>YES</v>
          </cell>
          <cell r="O558" t="str">
            <v>YES</v>
          </cell>
          <cell r="P558" t="str">
            <v>YES</v>
          </cell>
          <cell r="Q558" t="str">
            <v>YES</v>
          </cell>
          <cell r="R558" t="str">
            <v>YES</v>
          </cell>
          <cell r="S558" t="str">
            <v>YES</v>
          </cell>
          <cell r="T558" t="str">
            <v>YES</v>
          </cell>
          <cell r="U558"/>
          <cell r="V558"/>
          <cell r="W558"/>
          <cell r="X558"/>
          <cell r="Y558" t="str">
            <v>Live</v>
          </cell>
          <cell r="Z558" t="str">
            <v>Bilateral</v>
          </cell>
        </row>
        <row r="559">
          <cell r="F559" t="str">
            <v>BRARN</v>
          </cell>
          <cell r="G559"/>
          <cell r="H559" t="str">
            <v>724</v>
          </cell>
          <cell r="I559" t="str">
            <v>02</v>
          </cell>
          <cell r="J559" t="str">
            <v>x</v>
          </cell>
          <cell r="K559" t="str">
            <v>YES</v>
          </cell>
          <cell r="L559" t="str">
            <v>YES</v>
          </cell>
          <cell r="M559" t="str">
            <v>YES</v>
          </cell>
          <cell r="N559" t="str">
            <v>YES</v>
          </cell>
          <cell r="O559" t="str">
            <v>YES</v>
          </cell>
          <cell r="P559" t="str">
            <v>YES</v>
          </cell>
          <cell r="Q559" t="str">
            <v>YES</v>
          </cell>
          <cell r="R559" t="str">
            <v>YES</v>
          </cell>
          <cell r="S559" t="str">
            <v>YES</v>
          </cell>
          <cell r="T559" t="str">
            <v>YES</v>
          </cell>
          <cell r="U559"/>
          <cell r="V559"/>
          <cell r="W559"/>
          <cell r="X559"/>
          <cell r="Y559" t="str">
            <v>Live</v>
          </cell>
          <cell r="Z559" t="str">
            <v>Bilateral</v>
          </cell>
        </row>
        <row r="560">
          <cell r="F560" t="str">
            <v>ITASI</v>
          </cell>
          <cell r="G560"/>
          <cell r="H560" t="str">
            <v>222</v>
          </cell>
          <cell r="I560" t="str">
            <v>01</v>
          </cell>
          <cell r="J560" t="str">
            <v>x</v>
          </cell>
          <cell r="K560" t="str">
            <v>YES</v>
          </cell>
          <cell r="L560" t="str">
            <v>YES</v>
          </cell>
          <cell r="M560" t="str">
            <v>YES</v>
          </cell>
          <cell r="N560" t="str">
            <v>YES</v>
          </cell>
          <cell r="O560" t="str">
            <v>YES</v>
          </cell>
          <cell r="P560" t="str">
            <v>Arrêté</v>
          </cell>
          <cell r="Q560" t="str">
            <v>YES</v>
          </cell>
          <cell r="R560" t="str">
            <v>Arrêté</v>
          </cell>
          <cell r="S560" t="str">
            <v>YES</v>
          </cell>
          <cell r="T560" t="str">
            <v>YES</v>
          </cell>
          <cell r="U560"/>
          <cell r="V560"/>
          <cell r="W560"/>
          <cell r="X560"/>
          <cell r="Y560" t="str">
            <v>Live</v>
          </cell>
          <cell r="Z560" t="str">
            <v>Bilateral</v>
          </cell>
        </row>
        <row r="561">
          <cell r="F561" t="str">
            <v>TLSTL</v>
          </cell>
          <cell r="G561" t="str">
            <v>TLSK9</v>
          </cell>
          <cell r="H561" t="str">
            <v>514</v>
          </cell>
          <cell r="I561" t="str">
            <v>02</v>
          </cell>
          <cell r="J561" t="str">
            <v>x</v>
          </cell>
          <cell r="K561" t="str">
            <v>YES</v>
          </cell>
          <cell r="L561" t="str">
            <v>YES</v>
          </cell>
          <cell r="M561" t="str">
            <v>N.A</v>
          </cell>
          <cell r="N561" t="str">
            <v>YES</v>
          </cell>
          <cell r="O561" t="str">
            <v>YES</v>
          </cell>
          <cell r="P561" t="str">
            <v>YES</v>
          </cell>
          <cell r="Q561" t="str">
            <v>YES</v>
          </cell>
          <cell r="R561" t="str">
            <v>YES</v>
          </cell>
          <cell r="S561" t="str">
            <v>YES</v>
          </cell>
          <cell r="T561" t="str">
            <v>YES</v>
          </cell>
          <cell r="U561"/>
          <cell r="V561"/>
          <cell r="W561"/>
          <cell r="X561"/>
          <cell r="Y561" t="str">
            <v>Live</v>
          </cell>
          <cell r="Z561" t="str">
            <v>Comfone</v>
          </cell>
        </row>
        <row r="562">
          <cell r="F562" t="str">
            <v>PRTTM</v>
          </cell>
          <cell r="G562"/>
          <cell r="H562" t="str">
            <v>268</v>
          </cell>
          <cell r="I562" t="str">
            <v>06</v>
          </cell>
          <cell r="J562" t="str">
            <v>x</v>
          </cell>
          <cell r="K562" t="str">
            <v>YES</v>
          </cell>
          <cell r="L562" t="str">
            <v>YES</v>
          </cell>
          <cell r="M562" t="str">
            <v>YES</v>
          </cell>
          <cell r="N562" t="str">
            <v>YES</v>
          </cell>
          <cell r="O562" t="str">
            <v>YES</v>
          </cell>
          <cell r="P562" t="str">
            <v>YES</v>
          </cell>
          <cell r="Q562" t="str">
            <v>YES</v>
          </cell>
          <cell r="R562" t="str">
            <v>YES</v>
          </cell>
          <cell r="S562" t="str">
            <v>YES</v>
          </cell>
          <cell r="T562" t="str">
            <v>YES</v>
          </cell>
          <cell r="U562"/>
          <cell r="V562"/>
          <cell r="W562"/>
          <cell r="X562"/>
          <cell r="Y562" t="str">
            <v>Live</v>
          </cell>
          <cell r="Z562" t="str">
            <v>Bilateral</v>
          </cell>
        </row>
        <row r="563">
          <cell r="F563" t="str">
            <v>AUTAT</v>
          </cell>
          <cell r="G563"/>
          <cell r="H563" t="str">
            <v>232</v>
          </cell>
          <cell r="I563" t="str">
            <v>13</v>
          </cell>
          <cell r="J563" t="str">
            <v>x</v>
          </cell>
          <cell r="K563" t="str">
            <v>YES</v>
          </cell>
          <cell r="L563" t="str">
            <v>N.A</v>
          </cell>
          <cell r="M563" t="str">
            <v>YES</v>
          </cell>
          <cell r="N563" t="str">
            <v>N.A</v>
          </cell>
          <cell r="O563" t="str">
            <v>YES</v>
          </cell>
          <cell r="P563" t="str">
            <v>N.A</v>
          </cell>
          <cell r="Q563"/>
          <cell r="R563" t="str">
            <v>N.A</v>
          </cell>
          <cell r="S563"/>
          <cell r="T563" t="str">
            <v>N.A</v>
          </cell>
          <cell r="U563"/>
          <cell r="V563"/>
          <cell r="W563"/>
          <cell r="X563"/>
          <cell r="Y563" t="str">
            <v>Live</v>
          </cell>
          <cell r="Z563" t="str">
            <v>Bilateral</v>
          </cell>
        </row>
        <row r="564">
          <cell r="F564" t="str">
            <v>AUTMM</v>
          </cell>
          <cell r="G564"/>
          <cell r="H564" t="str">
            <v>232</v>
          </cell>
          <cell r="I564" t="str">
            <v>03</v>
          </cell>
          <cell r="J564" t="str">
            <v>x</v>
          </cell>
          <cell r="K564" t="str">
            <v>YES</v>
          </cell>
          <cell r="L564" t="str">
            <v>YES</v>
          </cell>
          <cell r="M564" t="str">
            <v>YES</v>
          </cell>
          <cell r="N564" t="str">
            <v>YES</v>
          </cell>
          <cell r="O564" t="str">
            <v>YES</v>
          </cell>
          <cell r="P564" t="str">
            <v>YES</v>
          </cell>
          <cell r="Q564" t="str">
            <v>YES</v>
          </cell>
          <cell r="R564" t="str">
            <v>YES</v>
          </cell>
          <cell r="S564" t="str">
            <v>YES</v>
          </cell>
          <cell r="T564"/>
          <cell r="U564"/>
          <cell r="V564"/>
          <cell r="W564"/>
          <cell r="X564"/>
          <cell r="Y564" t="str">
            <v>Live</v>
          </cell>
          <cell r="Z564" t="str">
            <v>Bilateral</v>
          </cell>
        </row>
        <row r="565">
          <cell r="F565" t="str">
            <v>AUTTR</v>
          </cell>
          <cell r="G565"/>
          <cell r="H565" t="str">
            <v>232</v>
          </cell>
          <cell r="I565" t="str">
            <v>07</v>
          </cell>
          <cell r="J565" t="str">
            <v>x</v>
          </cell>
          <cell r="K565" t="str">
            <v>YES</v>
          </cell>
          <cell r="L565" t="str">
            <v>N.A</v>
          </cell>
          <cell r="M565" t="str">
            <v>YES</v>
          </cell>
          <cell r="N565" t="str">
            <v>N.A</v>
          </cell>
          <cell r="O565" t="str">
            <v>YES</v>
          </cell>
          <cell r="P565" t="str">
            <v>N.A</v>
          </cell>
          <cell r="Q565" t="str">
            <v>YES</v>
          </cell>
          <cell r="R565" t="str">
            <v>N.A</v>
          </cell>
          <cell r="S565" t="str">
            <v>YES</v>
          </cell>
          <cell r="T565" t="str">
            <v>N.A</v>
          </cell>
          <cell r="U565"/>
          <cell r="V565"/>
          <cell r="W565"/>
          <cell r="X565"/>
          <cell r="Y565" t="str">
            <v>Live</v>
          </cell>
          <cell r="Z565" t="str">
            <v>Bilateral</v>
          </cell>
        </row>
        <row r="566">
          <cell r="F566" t="str">
            <v>CZERM</v>
          </cell>
          <cell r="G566"/>
          <cell r="H566" t="str">
            <v>230</v>
          </cell>
          <cell r="I566" t="str">
            <v>01</v>
          </cell>
          <cell r="J566" t="str">
            <v>x</v>
          </cell>
          <cell r="K566" t="str">
            <v>YES</v>
          </cell>
          <cell r="L566" t="str">
            <v>YES</v>
          </cell>
          <cell r="M566" t="str">
            <v>YES</v>
          </cell>
          <cell r="N566" t="str">
            <v>YES</v>
          </cell>
          <cell r="O566" t="str">
            <v>YES</v>
          </cell>
          <cell r="P566" t="str">
            <v>Arrêté</v>
          </cell>
          <cell r="Q566" t="str">
            <v>YES</v>
          </cell>
          <cell r="R566" t="str">
            <v>Arrêté</v>
          </cell>
          <cell r="S566" t="str">
            <v>YES</v>
          </cell>
          <cell r="T566" t="str">
            <v>YES</v>
          </cell>
          <cell r="U566"/>
          <cell r="V566"/>
          <cell r="W566"/>
          <cell r="X566"/>
          <cell r="Y566" t="str">
            <v>Live</v>
          </cell>
          <cell r="Z566" t="str">
            <v>Bilateral</v>
          </cell>
        </row>
        <row r="567">
          <cell r="F567" t="str">
            <v>DEUD1</v>
          </cell>
          <cell r="G567"/>
          <cell r="H567" t="str">
            <v>262</v>
          </cell>
          <cell r="I567" t="str">
            <v>01</v>
          </cell>
          <cell r="J567" t="str">
            <v>x</v>
          </cell>
          <cell r="K567" t="str">
            <v>YES</v>
          </cell>
          <cell r="L567" t="str">
            <v>YES</v>
          </cell>
          <cell r="M567" t="str">
            <v>YES</v>
          </cell>
          <cell r="N567" t="str">
            <v>YES</v>
          </cell>
          <cell r="O567" t="str">
            <v>YES</v>
          </cell>
          <cell r="P567" t="str">
            <v>Arrêté</v>
          </cell>
          <cell r="Q567" t="str">
            <v>YES</v>
          </cell>
          <cell r="R567" t="str">
            <v>Arrêté</v>
          </cell>
          <cell r="S567" t="str">
            <v>YES</v>
          </cell>
          <cell r="T567" t="str">
            <v>YES</v>
          </cell>
          <cell r="U567"/>
          <cell r="V567"/>
          <cell r="W567"/>
          <cell r="X567"/>
          <cell r="Y567" t="str">
            <v>Live</v>
          </cell>
          <cell r="Z567" t="str">
            <v>Bilateral</v>
          </cell>
        </row>
        <row r="568">
          <cell r="F568" t="str">
            <v>NLDPN</v>
          </cell>
          <cell r="G568"/>
          <cell r="H568" t="str">
            <v>204</v>
          </cell>
          <cell r="I568" t="str">
            <v>16</v>
          </cell>
          <cell r="J568" t="str">
            <v>x</v>
          </cell>
          <cell r="K568" t="str">
            <v>YES</v>
          </cell>
          <cell r="L568" t="str">
            <v>YES</v>
          </cell>
          <cell r="M568" t="str">
            <v>YES</v>
          </cell>
          <cell r="N568" t="str">
            <v>YES</v>
          </cell>
          <cell r="O568" t="str">
            <v>YES</v>
          </cell>
          <cell r="P568" t="str">
            <v>N.A</v>
          </cell>
          <cell r="Q568" t="str">
            <v>YES</v>
          </cell>
          <cell r="R568" t="str">
            <v>YES</v>
          </cell>
          <cell r="S568" t="str">
            <v>YES</v>
          </cell>
          <cell r="T568" t="str">
            <v>YES</v>
          </cell>
          <cell r="U568"/>
          <cell r="V568"/>
          <cell r="W568"/>
          <cell r="X568"/>
          <cell r="Y568" t="str">
            <v>Live</v>
          </cell>
          <cell r="Z568" t="str">
            <v>Bilateral</v>
          </cell>
        </row>
        <row r="569">
          <cell r="F569" t="str">
            <v>NLDDT</v>
          </cell>
          <cell r="G569"/>
          <cell r="H569" t="str">
            <v>204</v>
          </cell>
          <cell r="I569" t="str">
            <v>20</v>
          </cell>
          <cell r="J569" t="str">
            <v>x</v>
          </cell>
          <cell r="K569" t="str">
            <v>YES</v>
          </cell>
          <cell r="L569" t="str">
            <v>N.A</v>
          </cell>
          <cell r="M569" t="str">
            <v>YES</v>
          </cell>
          <cell r="N569" t="str">
            <v>N.A</v>
          </cell>
          <cell r="O569" t="str">
            <v>YES</v>
          </cell>
          <cell r="P569" t="str">
            <v>N.A</v>
          </cell>
          <cell r="Q569" t="str">
            <v>YES</v>
          </cell>
          <cell r="R569" t="str">
            <v>N.A</v>
          </cell>
          <cell r="S569" t="str">
            <v>YES</v>
          </cell>
          <cell r="T569" t="str">
            <v>N.A</v>
          </cell>
          <cell r="U569"/>
          <cell r="V569"/>
          <cell r="W569"/>
          <cell r="X569"/>
          <cell r="Y569" t="str">
            <v>Live</v>
          </cell>
          <cell r="Z569" t="str">
            <v>Bilateral</v>
          </cell>
        </row>
        <row r="570">
          <cell r="F570" t="str">
            <v>POL02</v>
          </cell>
          <cell r="G570"/>
          <cell r="H570" t="str">
            <v>260</v>
          </cell>
          <cell r="I570" t="str">
            <v>02</v>
          </cell>
          <cell r="J570" t="str">
            <v>x</v>
          </cell>
          <cell r="K570" t="str">
            <v>YES</v>
          </cell>
          <cell r="L570" t="str">
            <v>YES</v>
          </cell>
          <cell r="M570" t="str">
            <v>YES</v>
          </cell>
          <cell r="N570" t="str">
            <v>YES</v>
          </cell>
          <cell r="O570" t="str">
            <v>YES</v>
          </cell>
          <cell r="P570" t="str">
            <v>YES</v>
          </cell>
          <cell r="Q570" t="str">
            <v>N.A</v>
          </cell>
          <cell r="R570" t="str">
            <v>YES</v>
          </cell>
          <cell r="S570" t="str">
            <v>YES</v>
          </cell>
          <cell r="T570" t="str">
            <v>YES</v>
          </cell>
          <cell r="U570"/>
          <cell r="V570"/>
          <cell r="W570"/>
          <cell r="X570"/>
          <cell r="Y570" t="str">
            <v>Live</v>
          </cell>
          <cell r="Z570" t="str">
            <v>Bilateral</v>
          </cell>
        </row>
        <row r="571">
          <cell r="F571" t="str">
            <v>SVKET</v>
          </cell>
          <cell r="G571"/>
          <cell r="H571" t="str">
            <v>231</v>
          </cell>
          <cell r="I571" t="str">
            <v>02</v>
          </cell>
          <cell r="J571" t="str">
            <v>x</v>
          </cell>
          <cell r="K571" t="str">
            <v>YES</v>
          </cell>
          <cell r="L571" t="str">
            <v>YES</v>
          </cell>
          <cell r="M571" t="str">
            <v>YES</v>
          </cell>
          <cell r="N571" t="str">
            <v>YES</v>
          </cell>
          <cell r="O571" t="str">
            <v>YES</v>
          </cell>
          <cell r="P571" t="str">
            <v>YES</v>
          </cell>
          <cell r="Q571" t="str">
            <v>YES</v>
          </cell>
          <cell r="R571" t="str">
            <v>YES</v>
          </cell>
          <cell r="S571" t="str">
            <v>YES</v>
          </cell>
          <cell r="T571" t="str">
            <v>YES</v>
          </cell>
          <cell r="U571"/>
          <cell r="V571"/>
          <cell r="W571"/>
          <cell r="X571"/>
          <cell r="Y571" t="str">
            <v>Live</v>
          </cell>
          <cell r="Z571" t="str">
            <v>Bilateral</v>
          </cell>
        </row>
        <row r="572">
          <cell r="F572" t="str">
            <v>USASC</v>
          </cell>
          <cell r="G572"/>
          <cell r="H572" t="str">
            <v>310</v>
          </cell>
          <cell r="I572" t="str">
            <v>490</v>
          </cell>
          <cell r="J572" t="str">
            <v>x</v>
          </cell>
          <cell r="K572" t="str">
            <v>YES</v>
          </cell>
          <cell r="L572" t="str">
            <v>YES</v>
          </cell>
          <cell r="M572" t="str">
            <v>YES</v>
          </cell>
          <cell r="N572" t="str">
            <v>YES</v>
          </cell>
          <cell r="O572" t="str">
            <v>YES</v>
          </cell>
          <cell r="P572" t="str">
            <v>Arrêté</v>
          </cell>
          <cell r="Q572" t="str">
            <v>YES</v>
          </cell>
          <cell r="R572" t="str">
            <v>Arrêté</v>
          </cell>
          <cell r="S572" t="str">
            <v>YES</v>
          </cell>
          <cell r="T572" t="str">
            <v>YES</v>
          </cell>
          <cell r="U572"/>
          <cell r="V572"/>
          <cell r="W572"/>
          <cell r="X572"/>
          <cell r="Y572" t="str">
            <v>Live</v>
          </cell>
          <cell r="Z572" t="str">
            <v>Bilateral</v>
          </cell>
        </row>
        <row r="573">
          <cell r="F573" t="str">
            <v>USA16</v>
          </cell>
          <cell r="G573"/>
          <cell r="H573" t="str">
            <v>310</v>
          </cell>
          <cell r="I573" t="str">
            <v>160</v>
          </cell>
          <cell r="J573" t="str">
            <v>x</v>
          </cell>
          <cell r="K573" t="str">
            <v>YES</v>
          </cell>
          <cell r="L573" t="str">
            <v>YES</v>
          </cell>
          <cell r="M573" t="str">
            <v>YES</v>
          </cell>
          <cell r="N573" t="str">
            <v>YES</v>
          </cell>
          <cell r="O573" t="str">
            <v>YES</v>
          </cell>
          <cell r="P573" t="str">
            <v>Arrêté</v>
          </cell>
          <cell r="Q573" t="str">
            <v>YES</v>
          </cell>
          <cell r="R573" t="str">
            <v>Arrêté</v>
          </cell>
          <cell r="S573" t="str">
            <v>YES</v>
          </cell>
          <cell r="T573" t="str">
            <v>YES</v>
          </cell>
          <cell r="U573"/>
          <cell r="V573"/>
          <cell r="W573"/>
          <cell r="X573"/>
          <cell r="Y573" t="str">
            <v>Live</v>
          </cell>
          <cell r="Z573" t="str">
            <v>Bilateral</v>
          </cell>
        </row>
        <row r="574">
          <cell r="F574" t="str">
            <v>USA27</v>
          </cell>
          <cell r="G574"/>
          <cell r="H574" t="str">
            <v>310</v>
          </cell>
          <cell r="I574" t="str">
            <v>270</v>
          </cell>
          <cell r="J574" t="str">
            <v>x</v>
          </cell>
          <cell r="K574" t="str">
            <v>YES</v>
          </cell>
          <cell r="L574" t="str">
            <v>YES</v>
          </cell>
          <cell r="M574" t="str">
            <v>YES</v>
          </cell>
          <cell r="N574" t="str">
            <v>YES</v>
          </cell>
          <cell r="O574" t="str">
            <v>YES</v>
          </cell>
          <cell r="P574" t="str">
            <v>Arrêté</v>
          </cell>
          <cell r="Q574" t="str">
            <v>YES</v>
          </cell>
          <cell r="R574" t="str">
            <v>Arrêté</v>
          </cell>
          <cell r="S574" t="str">
            <v>YES</v>
          </cell>
          <cell r="T574" t="str">
            <v>YES</v>
          </cell>
          <cell r="U574"/>
          <cell r="V574"/>
          <cell r="W574"/>
          <cell r="X574"/>
          <cell r="Y574" t="str">
            <v>Live</v>
          </cell>
          <cell r="Z574" t="str">
            <v>Bilateral</v>
          </cell>
        </row>
        <row r="575">
          <cell r="F575" t="str">
            <v>USAW0</v>
          </cell>
          <cell r="G575"/>
          <cell r="H575" t="str">
            <v>310</v>
          </cell>
          <cell r="I575" t="str">
            <v>200</v>
          </cell>
          <cell r="J575" t="str">
            <v>x</v>
          </cell>
          <cell r="K575" t="str">
            <v>YES</v>
          </cell>
          <cell r="L575" t="str">
            <v>YES</v>
          </cell>
          <cell r="M575" t="str">
            <v>YES</v>
          </cell>
          <cell r="N575" t="str">
            <v>YES</v>
          </cell>
          <cell r="O575" t="str">
            <v>YES</v>
          </cell>
          <cell r="P575" t="str">
            <v>Arrêté</v>
          </cell>
          <cell r="Q575" t="str">
            <v>YES</v>
          </cell>
          <cell r="R575" t="str">
            <v>Arrêté</v>
          </cell>
          <cell r="S575" t="str">
            <v>YES</v>
          </cell>
          <cell r="T575" t="str">
            <v>YES</v>
          </cell>
          <cell r="U575"/>
          <cell r="V575"/>
          <cell r="W575"/>
          <cell r="X575"/>
          <cell r="Y575" t="str">
            <v>Live</v>
          </cell>
          <cell r="Z575" t="str">
            <v>Bilateral</v>
          </cell>
        </row>
        <row r="576">
          <cell r="F576" t="str">
            <v>USAW1</v>
          </cell>
          <cell r="G576"/>
          <cell r="H576" t="str">
            <v>310</v>
          </cell>
          <cell r="I576" t="str">
            <v>210</v>
          </cell>
          <cell r="J576" t="str">
            <v>x</v>
          </cell>
          <cell r="K576" t="str">
            <v>YES</v>
          </cell>
          <cell r="L576" t="str">
            <v>YES</v>
          </cell>
          <cell r="M576" t="str">
            <v>YES</v>
          </cell>
          <cell r="N576" t="str">
            <v>YES</v>
          </cell>
          <cell r="O576" t="str">
            <v>YES</v>
          </cell>
          <cell r="P576" t="str">
            <v>Arrêté</v>
          </cell>
          <cell r="Q576" t="str">
            <v>YES</v>
          </cell>
          <cell r="R576" t="str">
            <v>Arrêté</v>
          </cell>
          <cell r="S576" t="str">
            <v>YES</v>
          </cell>
          <cell r="T576" t="str">
            <v>YES</v>
          </cell>
          <cell r="U576"/>
          <cell r="V576"/>
          <cell r="W576"/>
          <cell r="X576"/>
          <cell r="Y576" t="str">
            <v>Live</v>
          </cell>
          <cell r="Z576" t="str">
            <v>Bilateral</v>
          </cell>
        </row>
        <row r="577">
          <cell r="F577" t="str">
            <v>USAW5</v>
          </cell>
          <cell r="G577"/>
          <cell r="H577" t="str">
            <v>310</v>
          </cell>
          <cell r="I577" t="str">
            <v>250</v>
          </cell>
          <cell r="J577" t="str">
            <v>x</v>
          </cell>
          <cell r="K577" t="str">
            <v>YES</v>
          </cell>
          <cell r="L577" t="str">
            <v>YES</v>
          </cell>
          <cell r="M577" t="str">
            <v>YES</v>
          </cell>
          <cell r="N577" t="str">
            <v>YES</v>
          </cell>
          <cell r="O577" t="str">
            <v>YES</v>
          </cell>
          <cell r="P577" t="str">
            <v>Arrêté</v>
          </cell>
          <cell r="Q577" t="str">
            <v>YES</v>
          </cell>
          <cell r="R577" t="str">
            <v>Arrêté</v>
          </cell>
          <cell r="S577" t="str">
            <v>YES</v>
          </cell>
          <cell r="T577" t="str">
            <v>YES</v>
          </cell>
          <cell r="U577"/>
          <cell r="V577"/>
          <cell r="W577"/>
          <cell r="X577"/>
          <cell r="Y577" t="str">
            <v>Live</v>
          </cell>
          <cell r="Z577" t="str">
            <v>Bilateral</v>
          </cell>
        </row>
        <row r="578">
          <cell r="F578" t="str">
            <v>USAW6</v>
          </cell>
          <cell r="G578"/>
          <cell r="H578" t="str">
            <v>310</v>
          </cell>
          <cell r="I578" t="str">
            <v>260</v>
          </cell>
          <cell r="J578" t="str">
            <v>x</v>
          </cell>
          <cell r="K578" t="str">
            <v>YES</v>
          </cell>
          <cell r="L578" t="str">
            <v>YES</v>
          </cell>
          <cell r="M578" t="str">
            <v>YES</v>
          </cell>
          <cell r="N578" t="str">
            <v>YES</v>
          </cell>
          <cell r="O578" t="str">
            <v>YES</v>
          </cell>
          <cell r="P578" t="str">
            <v>Arrêté</v>
          </cell>
          <cell r="Q578" t="str">
            <v>YES</v>
          </cell>
          <cell r="R578" t="str">
            <v>Arrêté</v>
          </cell>
          <cell r="S578" t="str">
            <v>YES</v>
          </cell>
          <cell r="T578" t="str">
            <v>YES</v>
          </cell>
          <cell r="U578"/>
          <cell r="V578"/>
          <cell r="W578"/>
          <cell r="X578"/>
          <cell r="Y578" t="str">
            <v>Live</v>
          </cell>
          <cell r="Z578" t="str">
            <v>Bilateral</v>
          </cell>
        </row>
        <row r="579">
          <cell r="F579" t="str">
            <v>USAW4</v>
          </cell>
          <cell r="G579"/>
          <cell r="H579" t="str">
            <v>310</v>
          </cell>
          <cell r="I579" t="str">
            <v>240</v>
          </cell>
          <cell r="J579" t="str">
            <v>x</v>
          </cell>
          <cell r="K579" t="str">
            <v>YES</v>
          </cell>
          <cell r="L579" t="str">
            <v>YES</v>
          </cell>
          <cell r="M579" t="str">
            <v>YES</v>
          </cell>
          <cell r="N579" t="str">
            <v>YES</v>
          </cell>
          <cell r="O579" t="str">
            <v>YES</v>
          </cell>
          <cell r="P579" t="str">
            <v>Arrêté</v>
          </cell>
          <cell r="Q579" t="str">
            <v>YES</v>
          </cell>
          <cell r="R579" t="str">
            <v>Arrêté</v>
          </cell>
          <cell r="S579" t="str">
            <v>YES</v>
          </cell>
          <cell r="T579" t="str">
            <v>YES</v>
          </cell>
          <cell r="U579"/>
          <cell r="V579"/>
          <cell r="W579"/>
          <cell r="X579"/>
          <cell r="Y579" t="str">
            <v>Live</v>
          </cell>
          <cell r="Z579" t="str">
            <v>Bilateral</v>
          </cell>
        </row>
        <row r="580">
          <cell r="F580" t="str">
            <v>USAW2</v>
          </cell>
          <cell r="G580"/>
          <cell r="H580" t="str">
            <v>310</v>
          </cell>
          <cell r="I580" t="str">
            <v>220</v>
          </cell>
          <cell r="J580" t="str">
            <v>x</v>
          </cell>
          <cell r="K580" t="str">
            <v>YES</v>
          </cell>
          <cell r="L580" t="str">
            <v>YES</v>
          </cell>
          <cell r="M580" t="str">
            <v>YES</v>
          </cell>
          <cell r="N580" t="str">
            <v>YES</v>
          </cell>
          <cell r="O580" t="str">
            <v>YES</v>
          </cell>
          <cell r="P580" t="str">
            <v>Arrêté</v>
          </cell>
          <cell r="Q580" t="str">
            <v>YES</v>
          </cell>
          <cell r="R580" t="str">
            <v>Arrêté</v>
          </cell>
          <cell r="S580" t="str">
            <v>YES</v>
          </cell>
          <cell r="T580" t="str">
            <v>YES</v>
          </cell>
          <cell r="U580"/>
          <cell r="V580"/>
          <cell r="W580"/>
          <cell r="X580"/>
          <cell r="Y580" t="str">
            <v>Live</v>
          </cell>
          <cell r="Z580" t="str">
            <v>Bilateral</v>
          </cell>
        </row>
        <row r="581">
          <cell r="F581" t="str">
            <v>USAW3</v>
          </cell>
          <cell r="G581"/>
          <cell r="H581" t="str">
            <v>310</v>
          </cell>
          <cell r="I581" t="str">
            <v>230</v>
          </cell>
          <cell r="J581" t="str">
            <v>x</v>
          </cell>
          <cell r="K581" t="str">
            <v>YES</v>
          </cell>
          <cell r="L581" t="str">
            <v>YES</v>
          </cell>
          <cell r="M581" t="str">
            <v>YES</v>
          </cell>
          <cell r="N581" t="str">
            <v>YES</v>
          </cell>
          <cell r="O581" t="str">
            <v>YES</v>
          </cell>
          <cell r="P581" t="str">
            <v>Arrêté</v>
          </cell>
          <cell r="Q581" t="str">
            <v>YES</v>
          </cell>
          <cell r="R581" t="str">
            <v>Arrêté</v>
          </cell>
          <cell r="S581" t="str">
            <v>YES</v>
          </cell>
          <cell r="T581" t="str">
            <v>YES</v>
          </cell>
          <cell r="U581"/>
          <cell r="V581"/>
          <cell r="W581"/>
          <cell r="X581"/>
          <cell r="Y581" t="str">
            <v>Live</v>
          </cell>
          <cell r="Z581" t="str">
            <v>Bilateral</v>
          </cell>
        </row>
        <row r="582">
          <cell r="F582" t="str">
            <v>USAST</v>
          </cell>
          <cell r="G582"/>
          <cell r="H582" t="str">
            <v>310</v>
          </cell>
          <cell r="I582" t="str">
            <v>800</v>
          </cell>
          <cell r="J582" t="str">
            <v>x</v>
          </cell>
          <cell r="K582" t="str">
            <v>YES</v>
          </cell>
          <cell r="L582" t="str">
            <v>YES</v>
          </cell>
          <cell r="M582" t="str">
            <v>YES</v>
          </cell>
          <cell r="N582" t="str">
            <v>YES</v>
          </cell>
          <cell r="O582" t="str">
            <v>YES</v>
          </cell>
          <cell r="P582" t="str">
            <v>Arrêté</v>
          </cell>
          <cell r="Q582" t="str">
            <v>YES</v>
          </cell>
          <cell r="R582" t="str">
            <v>Arrêté</v>
          </cell>
          <cell r="S582" t="str">
            <v>YES</v>
          </cell>
          <cell r="T582" t="str">
            <v>YES</v>
          </cell>
          <cell r="U582"/>
          <cell r="V582"/>
          <cell r="W582"/>
          <cell r="X582"/>
          <cell r="Y582" t="str">
            <v>Live</v>
          </cell>
          <cell r="Z582" t="str">
            <v>Bilateral</v>
          </cell>
        </row>
        <row r="583">
          <cell r="F583" t="str">
            <v>USA58</v>
          </cell>
          <cell r="G583"/>
          <cell r="H583" t="str">
            <v>310</v>
          </cell>
          <cell r="I583" t="str">
            <v>58</v>
          </cell>
          <cell r="J583" t="str">
            <v>x</v>
          </cell>
          <cell r="K583" t="str">
            <v>YES</v>
          </cell>
          <cell r="L583" t="str">
            <v>YES</v>
          </cell>
          <cell r="M583" t="str">
            <v>YES</v>
          </cell>
          <cell r="N583" t="str">
            <v>YES</v>
          </cell>
          <cell r="O583" t="str">
            <v>YES</v>
          </cell>
          <cell r="P583" t="str">
            <v>Arrêté</v>
          </cell>
          <cell r="Q583" t="str">
            <v>YES</v>
          </cell>
          <cell r="R583" t="str">
            <v>Arrêté</v>
          </cell>
          <cell r="S583" t="str">
            <v>YES</v>
          </cell>
          <cell r="T583" t="str">
            <v>YES</v>
          </cell>
          <cell r="U583"/>
          <cell r="V583"/>
          <cell r="W583"/>
          <cell r="X583"/>
          <cell r="Y583" t="str">
            <v>Live</v>
          </cell>
          <cell r="Z583" t="str">
            <v>Bilateral</v>
          </cell>
        </row>
        <row r="584">
          <cell r="F584" t="str">
            <v>USA31</v>
          </cell>
          <cell r="G584"/>
          <cell r="H584" t="str">
            <v>310</v>
          </cell>
          <cell r="I584" t="str">
            <v>310</v>
          </cell>
          <cell r="J584" t="str">
            <v>x</v>
          </cell>
          <cell r="K584" t="str">
            <v>YES</v>
          </cell>
          <cell r="L584" t="str">
            <v>YES</v>
          </cell>
          <cell r="M584" t="str">
            <v>YES</v>
          </cell>
          <cell r="N584" t="str">
            <v>YES</v>
          </cell>
          <cell r="O584" t="str">
            <v>YES</v>
          </cell>
          <cell r="P584" t="str">
            <v>Arrêté</v>
          </cell>
          <cell r="Q584" t="str">
            <v>YES</v>
          </cell>
          <cell r="R584" t="str">
            <v>Arrêté</v>
          </cell>
          <cell r="S584" t="str">
            <v>YES</v>
          </cell>
          <cell r="T584" t="str">
            <v>YES</v>
          </cell>
          <cell r="U584"/>
          <cell r="V584"/>
          <cell r="W584"/>
          <cell r="X584"/>
          <cell r="Y584" t="str">
            <v>Live</v>
          </cell>
          <cell r="Z584" t="str">
            <v>Bilateral</v>
          </cell>
        </row>
        <row r="585">
          <cell r="F585" t="str">
            <v>TGOTC</v>
          </cell>
          <cell r="G585"/>
          <cell r="H585" t="str">
            <v>615</v>
          </cell>
          <cell r="I585" t="str">
            <v>01</v>
          </cell>
          <cell r="J585" t="str">
            <v>x</v>
          </cell>
          <cell r="K585" t="str">
            <v>YES</v>
          </cell>
          <cell r="L585" t="str">
            <v>YES</v>
          </cell>
          <cell r="M585"/>
          <cell r="N585" t="str">
            <v>Planned</v>
          </cell>
          <cell r="O585" t="str">
            <v>YES</v>
          </cell>
          <cell r="P585" t="str">
            <v>YES</v>
          </cell>
          <cell r="Q585" t="str">
            <v>YES</v>
          </cell>
          <cell r="R585" t="str">
            <v>YES</v>
          </cell>
          <cell r="S585" t="str">
            <v>YES</v>
          </cell>
          <cell r="T585" t="str">
            <v>YES</v>
          </cell>
          <cell r="U585"/>
          <cell r="V585"/>
          <cell r="W585"/>
          <cell r="X585"/>
          <cell r="Y585" t="str">
            <v>Live</v>
          </cell>
          <cell r="Z585" t="str">
            <v>Bilateral</v>
          </cell>
        </row>
        <row r="586">
          <cell r="F586" t="str">
            <v>TON01</v>
          </cell>
          <cell r="G586" t="str">
            <v>TONK8</v>
          </cell>
          <cell r="H586" t="str">
            <v>539</v>
          </cell>
          <cell r="I586" t="str">
            <v>01</v>
          </cell>
          <cell r="J586" t="str">
            <v>x</v>
          </cell>
          <cell r="K586" t="str">
            <v>YES</v>
          </cell>
          <cell r="L586" t="str">
            <v>YES</v>
          </cell>
          <cell r="M586" t="str">
            <v>YES</v>
          </cell>
          <cell r="N586" t="str">
            <v>YES</v>
          </cell>
          <cell r="O586" t="str">
            <v>YES</v>
          </cell>
          <cell r="P586" t="str">
            <v>YES</v>
          </cell>
          <cell r="Q586" t="str">
            <v>YES</v>
          </cell>
          <cell r="R586" t="str">
            <v>YES</v>
          </cell>
          <cell r="S586" t="str">
            <v>YES</v>
          </cell>
          <cell r="T586" t="str">
            <v>YES</v>
          </cell>
          <cell r="U586"/>
          <cell r="V586"/>
          <cell r="W586"/>
          <cell r="X586"/>
          <cell r="Y586" t="str">
            <v>Live</v>
          </cell>
          <cell r="Z586" t="str">
            <v>Comfone</v>
          </cell>
        </row>
        <row r="587">
          <cell r="F587" t="str">
            <v>THAWP</v>
          </cell>
          <cell r="G587" t="str">
            <v>THAK7</v>
          </cell>
          <cell r="H587" t="str">
            <v>520</v>
          </cell>
          <cell r="I587" t="str">
            <v>18</v>
          </cell>
          <cell r="J587" t="str">
            <v>x</v>
          </cell>
          <cell r="K587"/>
          <cell r="L587" t="str">
            <v>YES</v>
          </cell>
          <cell r="M587"/>
          <cell r="N587"/>
          <cell r="O587"/>
          <cell r="P587" t="str">
            <v>YES</v>
          </cell>
          <cell r="Q587"/>
          <cell r="R587" t="str">
            <v>YES</v>
          </cell>
          <cell r="S587"/>
          <cell r="T587" t="str">
            <v>YES</v>
          </cell>
          <cell r="U587"/>
          <cell r="V587"/>
          <cell r="W587"/>
          <cell r="X587"/>
          <cell r="Y587" t="str">
            <v>Live</v>
          </cell>
          <cell r="Z587" t="str">
            <v>Comfone</v>
          </cell>
        </row>
        <row r="588">
          <cell r="F588" t="str">
            <v>LBNLC</v>
          </cell>
          <cell r="G588"/>
          <cell r="H588" t="str">
            <v>415</v>
          </cell>
          <cell r="I588" t="str">
            <v>03</v>
          </cell>
          <cell r="J588" t="str">
            <v>x</v>
          </cell>
          <cell r="K588" t="str">
            <v>YES</v>
          </cell>
          <cell r="L588" t="str">
            <v>YES</v>
          </cell>
          <cell r="M588" t="str">
            <v>YES</v>
          </cell>
          <cell r="N588"/>
          <cell r="O588" t="str">
            <v>YES</v>
          </cell>
          <cell r="P588" t="str">
            <v>YES</v>
          </cell>
          <cell r="Q588" t="str">
            <v>YES</v>
          </cell>
          <cell r="R588" t="str">
            <v>YES</v>
          </cell>
          <cell r="S588" t="str">
            <v>YES</v>
          </cell>
          <cell r="T588"/>
          <cell r="U588"/>
          <cell r="V588"/>
          <cell r="W588"/>
          <cell r="X588"/>
          <cell r="Y588" t="str">
            <v>Live</v>
          </cell>
          <cell r="Z588" t="str">
            <v>Bilateral</v>
          </cell>
        </row>
        <row r="589">
          <cell r="F589" t="str">
            <v>LAOTL</v>
          </cell>
          <cell r="G589"/>
          <cell r="H589" t="str">
            <v>457</v>
          </cell>
          <cell r="I589" t="str">
            <v>08</v>
          </cell>
          <cell r="J589" t="str">
            <v>x</v>
          </cell>
          <cell r="K589" t="str">
            <v>YES</v>
          </cell>
          <cell r="L589" t="str">
            <v>YES</v>
          </cell>
          <cell r="M589"/>
          <cell r="N589"/>
          <cell r="O589" t="str">
            <v>YES</v>
          </cell>
          <cell r="P589" t="str">
            <v>YES</v>
          </cell>
          <cell r="Q589" t="str">
            <v>YES</v>
          </cell>
          <cell r="R589" t="str">
            <v>YES</v>
          </cell>
          <cell r="S589"/>
          <cell r="T589"/>
          <cell r="U589"/>
          <cell r="V589"/>
          <cell r="W589"/>
          <cell r="X589"/>
          <cell r="Y589" t="str">
            <v>Live</v>
          </cell>
          <cell r="Z589" t="str">
            <v>Bilateral</v>
          </cell>
        </row>
        <row r="590">
          <cell r="F590" t="str">
            <v>AAZTR</v>
          </cell>
          <cell r="G590"/>
          <cell r="H590" t="str">
            <v>901</v>
          </cell>
          <cell r="I590" t="str">
            <v>37</v>
          </cell>
          <cell r="J590" t="str">
            <v>x</v>
          </cell>
          <cell r="K590" t="str">
            <v>YES</v>
          </cell>
          <cell r="L590" t="str">
            <v>N.A</v>
          </cell>
          <cell r="M590" t="str">
            <v>YES</v>
          </cell>
          <cell r="N590" t="str">
            <v>N.A</v>
          </cell>
          <cell r="O590" t="str">
            <v>YES</v>
          </cell>
          <cell r="P590" t="str">
            <v>N.A</v>
          </cell>
          <cell r="Q590" t="str">
            <v>YES</v>
          </cell>
          <cell r="R590" t="str">
            <v>N.A</v>
          </cell>
          <cell r="S590" t="str">
            <v>YES</v>
          </cell>
          <cell r="T590" t="str">
            <v>N.A</v>
          </cell>
          <cell r="U590"/>
          <cell r="V590"/>
          <cell r="W590"/>
          <cell r="X590"/>
          <cell r="Y590" t="str">
            <v>Live</v>
          </cell>
          <cell r="Z590" t="str">
            <v>Bilateral</v>
          </cell>
        </row>
        <row r="591">
          <cell r="F591" t="str">
            <v>THACO</v>
          </cell>
          <cell r="G591"/>
          <cell r="H591" t="str">
            <v>520</v>
          </cell>
          <cell r="I591" t="str">
            <v>99</v>
          </cell>
          <cell r="J591" t="str">
            <v>x</v>
          </cell>
          <cell r="K591" t="str">
            <v>YES</v>
          </cell>
          <cell r="L591" t="str">
            <v>YES</v>
          </cell>
          <cell r="M591" t="str">
            <v>YES</v>
          </cell>
          <cell r="N591" t="str">
            <v>YES</v>
          </cell>
          <cell r="O591" t="str">
            <v>YES</v>
          </cell>
          <cell r="P591" t="str">
            <v>YES</v>
          </cell>
          <cell r="Q591" t="str">
            <v>YES</v>
          </cell>
          <cell r="R591" t="str">
            <v>YES</v>
          </cell>
          <cell r="S591" t="str">
            <v>YES</v>
          </cell>
          <cell r="T591" t="str">
            <v>YES</v>
          </cell>
          <cell r="U591"/>
          <cell r="V591"/>
          <cell r="W591"/>
          <cell r="X591"/>
          <cell r="Y591" t="str">
            <v>Live</v>
          </cell>
          <cell r="Z591" t="str">
            <v>Bilateral</v>
          </cell>
        </row>
        <row r="592">
          <cell r="F592" t="str">
            <v>THACT</v>
          </cell>
          <cell r="G592"/>
          <cell r="H592" t="str">
            <v>520</v>
          </cell>
          <cell r="I592" t="str">
            <v>00</v>
          </cell>
          <cell r="J592" t="str">
            <v>x</v>
          </cell>
          <cell r="K592" t="str">
            <v>YES</v>
          </cell>
          <cell r="L592" t="str">
            <v>YES</v>
          </cell>
          <cell r="M592" t="str">
            <v>YES</v>
          </cell>
          <cell r="N592" t="str">
            <v>YES</v>
          </cell>
          <cell r="O592" t="str">
            <v>YES</v>
          </cell>
          <cell r="P592" t="str">
            <v>YES</v>
          </cell>
          <cell r="Q592" t="str">
            <v>YES</v>
          </cell>
          <cell r="R592" t="str">
            <v>YES</v>
          </cell>
          <cell r="S592" t="str">
            <v>YES</v>
          </cell>
          <cell r="T592" t="str">
            <v>YES</v>
          </cell>
          <cell r="U592"/>
          <cell r="V592"/>
          <cell r="W592"/>
          <cell r="X592"/>
          <cell r="Y592" t="str">
            <v>Live</v>
          </cell>
          <cell r="Z592" t="str">
            <v>Bilateral</v>
          </cell>
        </row>
        <row r="593">
          <cell r="F593" t="str">
            <v>THACA</v>
          </cell>
          <cell r="G593"/>
          <cell r="H593" t="str">
            <v>520</v>
          </cell>
          <cell r="I593" t="str">
            <v>04</v>
          </cell>
          <cell r="J593" t="str">
            <v>x</v>
          </cell>
          <cell r="K593" t="str">
            <v>YES</v>
          </cell>
          <cell r="L593" t="str">
            <v>YES</v>
          </cell>
          <cell r="M593" t="str">
            <v>YES</v>
          </cell>
          <cell r="N593" t="str">
            <v>YES</v>
          </cell>
          <cell r="O593" t="str">
            <v>YES</v>
          </cell>
          <cell r="P593" t="str">
            <v>YES</v>
          </cell>
          <cell r="Q593" t="str">
            <v>YES</v>
          </cell>
          <cell r="R593" t="str">
            <v>YES</v>
          </cell>
          <cell r="S593" t="str">
            <v>YES</v>
          </cell>
          <cell r="T593" t="str">
            <v>YES</v>
          </cell>
          <cell r="U593"/>
          <cell r="V593"/>
          <cell r="W593"/>
          <cell r="X593"/>
          <cell r="Y593" t="str">
            <v>Live</v>
          </cell>
          <cell r="Z593" t="str">
            <v>Bilateral</v>
          </cell>
        </row>
        <row r="594">
          <cell r="F594" t="str">
            <v>GBRTR</v>
          </cell>
          <cell r="G594"/>
          <cell r="H594">
            <v>234</v>
          </cell>
          <cell r="I594">
            <v>25</v>
          </cell>
          <cell r="J594" t="str">
            <v>x</v>
          </cell>
          <cell r="K594" t="str">
            <v>YES</v>
          </cell>
          <cell r="L594" t="str">
            <v>N.A</v>
          </cell>
          <cell r="M594" t="str">
            <v>YES</v>
          </cell>
          <cell r="N594" t="str">
            <v>N.A</v>
          </cell>
          <cell r="O594" t="str">
            <v>YES</v>
          </cell>
          <cell r="P594" t="str">
            <v>N.A</v>
          </cell>
          <cell r="Q594" t="str">
            <v>YES</v>
          </cell>
          <cell r="R594" t="str">
            <v>N.A</v>
          </cell>
          <cell r="S594" t="str">
            <v>YES</v>
          </cell>
          <cell r="T594" t="str">
            <v>N.A</v>
          </cell>
          <cell r="U594"/>
          <cell r="V594"/>
          <cell r="W594"/>
          <cell r="X594"/>
          <cell r="Y594" t="str">
            <v>Live</v>
          </cell>
          <cell r="Z594" t="str">
            <v>Bilateral</v>
          </cell>
        </row>
        <row r="595">
          <cell r="F595" t="str">
            <v>TTO12</v>
          </cell>
          <cell r="G595"/>
          <cell r="H595" t="str">
            <v>374</v>
          </cell>
          <cell r="I595" t="str">
            <v>12</v>
          </cell>
          <cell r="J595"/>
          <cell r="K595" t="str">
            <v>YES</v>
          </cell>
          <cell r="L595" t="str">
            <v>YES</v>
          </cell>
          <cell r="M595"/>
          <cell r="N595"/>
          <cell r="O595" t="str">
            <v>YES</v>
          </cell>
          <cell r="P595" t="str">
            <v>YES</v>
          </cell>
          <cell r="Q595" t="str">
            <v>YES</v>
          </cell>
          <cell r="R595"/>
          <cell r="S595"/>
          <cell r="T595"/>
          <cell r="U595"/>
          <cell r="V595"/>
          <cell r="W595"/>
          <cell r="X595"/>
          <cell r="Y595" t="str">
            <v>Live</v>
          </cell>
          <cell r="Z595" t="str">
            <v>Bilateral</v>
          </cell>
        </row>
        <row r="596">
          <cell r="F596" t="str">
            <v>TURTC</v>
          </cell>
          <cell r="G596"/>
          <cell r="H596" t="str">
            <v>286</v>
          </cell>
          <cell r="I596" t="str">
            <v>01</v>
          </cell>
          <cell r="J596" t="str">
            <v>x</v>
          </cell>
          <cell r="K596" t="str">
            <v>YES</v>
          </cell>
          <cell r="L596" t="str">
            <v>YES</v>
          </cell>
          <cell r="M596" t="str">
            <v>YES</v>
          </cell>
          <cell r="N596" t="str">
            <v>YES</v>
          </cell>
          <cell r="O596" t="str">
            <v>YES</v>
          </cell>
          <cell r="P596" t="str">
            <v>YES</v>
          </cell>
          <cell r="Q596" t="str">
            <v>YES</v>
          </cell>
          <cell r="R596" t="str">
            <v>YES</v>
          </cell>
          <cell r="S596" t="str">
            <v>YES</v>
          </cell>
          <cell r="T596" t="str">
            <v>YES</v>
          </cell>
          <cell r="U596"/>
          <cell r="V596"/>
          <cell r="W596"/>
          <cell r="X596"/>
          <cell r="Y596" t="str">
            <v>Live</v>
          </cell>
          <cell r="Z596" t="str">
            <v>Bilateral</v>
          </cell>
        </row>
        <row r="597">
          <cell r="F597" t="str">
            <v>RUS27</v>
          </cell>
          <cell r="G597" t="str">
            <v>RUSK3</v>
          </cell>
          <cell r="H597" t="str">
            <v>250</v>
          </cell>
          <cell r="I597" t="str">
            <v>27</v>
          </cell>
          <cell r="J597" t="str">
            <v>x</v>
          </cell>
          <cell r="K597" t="str">
            <v>YES</v>
          </cell>
          <cell r="L597" t="str">
            <v>YES</v>
          </cell>
          <cell r="M597"/>
          <cell r="N597" t="str">
            <v>YES</v>
          </cell>
          <cell r="O597" t="str">
            <v>YES</v>
          </cell>
          <cell r="P597" t="str">
            <v>Arrêté</v>
          </cell>
          <cell r="Q597" t="str">
            <v>YES</v>
          </cell>
          <cell r="R597" t="str">
            <v>Arrêté</v>
          </cell>
          <cell r="S597" t="str">
            <v>YES</v>
          </cell>
          <cell r="T597" t="str">
            <v>YES</v>
          </cell>
          <cell r="U597"/>
          <cell r="V597"/>
          <cell r="W597"/>
          <cell r="X597"/>
          <cell r="Y597" t="str">
            <v>Live</v>
          </cell>
          <cell r="Z597" t="str">
            <v>Comfone</v>
          </cell>
        </row>
        <row r="598">
          <cell r="F598" t="str">
            <v>NZLNH</v>
          </cell>
          <cell r="G598" t="str">
            <v>NZLK9</v>
          </cell>
          <cell r="H598" t="str">
            <v>530</v>
          </cell>
          <cell r="I598" t="str">
            <v>24</v>
          </cell>
          <cell r="J598" t="str">
            <v>x</v>
          </cell>
          <cell r="K598" t="str">
            <v>YES</v>
          </cell>
          <cell r="L598" t="str">
            <v>Arrêté</v>
          </cell>
          <cell r="M598" t="str">
            <v>YES</v>
          </cell>
          <cell r="N598" t="str">
            <v>YES</v>
          </cell>
          <cell r="O598" t="str">
            <v>YES</v>
          </cell>
          <cell r="P598" t="str">
            <v>YES</v>
          </cell>
          <cell r="Q598" t="str">
            <v>YES</v>
          </cell>
          <cell r="R598" t="str">
            <v>YES</v>
          </cell>
          <cell r="S598"/>
          <cell r="T598"/>
          <cell r="U598"/>
          <cell r="V598"/>
          <cell r="W598"/>
          <cell r="X598"/>
          <cell r="Y598" t="str">
            <v>Live</v>
          </cell>
          <cell r="Z598" t="str">
            <v>Comfone</v>
          </cell>
        </row>
        <row r="599">
          <cell r="F599" t="str">
            <v>MYSMI</v>
          </cell>
          <cell r="G599" t="str">
            <v>MYSFT</v>
          </cell>
          <cell r="H599" t="str">
            <v>502</v>
          </cell>
          <cell r="I599" t="str">
            <v>18</v>
          </cell>
          <cell r="J599" t="str">
            <v>x</v>
          </cell>
          <cell r="K599" t="str">
            <v>YES</v>
          </cell>
          <cell r="L599" t="str">
            <v>Arrêté</v>
          </cell>
          <cell r="M599" t="str">
            <v>Planned</v>
          </cell>
          <cell r="N599"/>
          <cell r="O599" t="str">
            <v>YES</v>
          </cell>
          <cell r="P599" t="str">
            <v>Arrêté</v>
          </cell>
          <cell r="Q599" t="str">
            <v>YES</v>
          </cell>
          <cell r="R599" t="str">
            <v>Arrêté</v>
          </cell>
          <cell r="S599"/>
          <cell r="T599" t="str">
            <v>YES</v>
          </cell>
          <cell r="U599"/>
          <cell r="V599"/>
          <cell r="W599"/>
          <cell r="X599"/>
          <cell r="Y599" t="str">
            <v>Live</v>
          </cell>
          <cell r="Z599" t="str">
            <v>Orange Hub</v>
          </cell>
        </row>
        <row r="600">
          <cell r="F600" t="str">
            <v>LTUMT</v>
          </cell>
          <cell r="G600" t="str">
            <v>LTUK9</v>
          </cell>
          <cell r="H600" t="str">
            <v>246</v>
          </cell>
          <cell r="I600" t="str">
            <v>02</v>
          </cell>
          <cell r="J600" t="str">
            <v>x</v>
          </cell>
          <cell r="K600" t="str">
            <v>YES</v>
          </cell>
          <cell r="L600" t="str">
            <v>YES</v>
          </cell>
          <cell r="M600" t="str">
            <v>YES</v>
          </cell>
          <cell r="N600" t="str">
            <v>YES</v>
          </cell>
          <cell r="O600" t="str">
            <v>YES</v>
          </cell>
          <cell r="P600" t="str">
            <v>YES</v>
          </cell>
          <cell r="Q600" t="str">
            <v>YES</v>
          </cell>
          <cell r="R600" t="str">
            <v>YES</v>
          </cell>
          <cell r="S600" t="str">
            <v>YES</v>
          </cell>
          <cell r="T600" t="str">
            <v>YES</v>
          </cell>
          <cell r="U600"/>
          <cell r="V600"/>
          <cell r="W600"/>
          <cell r="X600"/>
          <cell r="Y600" t="str">
            <v>Live</v>
          </cell>
          <cell r="Z600" t="str">
            <v>Comfone</v>
          </cell>
        </row>
        <row r="601">
          <cell r="F601" t="str">
            <v>LTU03</v>
          </cell>
          <cell r="G601"/>
          <cell r="H601" t="str">
            <v>246</v>
          </cell>
          <cell r="I601" t="str">
            <v>03</v>
          </cell>
          <cell r="J601" t="str">
            <v>x</v>
          </cell>
          <cell r="K601" t="str">
            <v>YES</v>
          </cell>
          <cell r="L601" t="str">
            <v>YES</v>
          </cell>
          <cell r="M601" t="str">
            <v>YES</v>
          </cell>
          <cell r="N601" t="str">
            <v>YES</v>
          </cell>
          <cell r="O601" t="str">
            <v>YES</v>
          </cell>
          <cell r="P601" t="str">
            <v>YES</v>
          </cell>
          <cell r="Q601" t="str">
            <v>YES</v>
          </cell>
          <cell r="R601" t="str">
            <v>YES</v>
          </cell>
          <cell r="S601" t="str">
            <v>YES</v>
          </cell>
          <cell r="T601" t="str">
            <v>YES</v>
          </cell>
          <cell r="U601"/>
          <cell r="V601"/>
          <cell r="W601"/>
          <cell r="X601"/>
          <cell r="Y601" t="str">
            <v>Live</v>
          </cell>
          <cell r="Z601" t="str">
            <v>Bilateral</v>
          </cell>
        </row>
        <row r="602">
          <cell r="F602" t="str">
            <v>UZB05</v>
          </cell>
          <cell r="G602"/>
          <cell r="H602" t="str">
            <v>434</v>
          </cell>
          <cell r="I602" t="str">
            <v>05</v>
          </cell>
          <cell r="J602" t="str">
            <v>x</v>
          </cell>
          <cell r="K602" t="str">
            <v>YES</v>
          </cell>
          <cell r="L602" t="str">
            <v>YES</v>
          </cell>
          <cell r="M602" t="str">
            <v>YES</v>
          </cell>
          <cell r="N602" t="str">
            <v>YES</v>
          </cell>
          <cell r="O602" t="str">
            <v>YES</v>
          </cell>
          <cell r="P602" t="str">
            <v>YES</v>
          </cell>
          <cell r="Q602" t="str">
            <v>YES</v>
          </cell>
          <cell r="R602" t="str">
            <v>YES</v>
          </cell>
          <cell r="S602" t="str">
            <v>YES</v>
          </cell>
          <cell r="T602" t="str">
            <v>Planned</v>
          </cell>
          <cell r="U602"/>
          <cell r="V602"/>
          <cell r="W602"/>
          <cell r="X602"/>
          <cell r="Y602" t="str">
            <v>Live</v>
          </cell>
          <cell r="Z602" t="str">
            <v>Bilateral</v>
          </cell>
        </row>
        <row r="603">
          <cell r="F603" t="str">
            <v>ARMOR</v>
          </cell>
          <cell r="G603" t="str">
            <v>ARMFT</v>
          </cell>
          <cell r="H603" t="str">
            <v>283</v>
          </cell>
          <cell r="I603" t="str">
            <v>10</v>
          </cell>
          <cell r="J603" t="str">
            <v>x</v>
          </cell>
          <cell r="K603" t="str">
            <v>YES</v>
          </cell>
          <cell r="L603" t="str">
            <v>YES</v>
          </cell>
          <cell r="M603" t="str">
            <v>YES</v>
          </cell>
          <cell r="N603" t="str">
            <v>YES</v>
          </cell>
          <cell r="O603" t="str">
            <v>YES</v>
          </cell>
          <cell r="P603" t="str">
            <v>YES</v>
          </cell>
          <cell r="Q603" t="str">
            <v>YES</v>
          </cell>
          <cell r="R603" t="str">
            <v>YES</v>
          </cell>
          <cell r="S603" t="str">
            <v>YES</v>
          </cell>
          <cell r="T603" t="str">
            <v>YES</v>
          </cell>
          <cell r="U603"/>
          <cell r="V603"/>
          <cell r="W603"/>
          <cell r="X603"/>
          <cell r="Y603" t="str">
            <v>Live</v>
          </cell>
          <cell r="Z603" t="str">
            <v>Orange Hub</v>
          </cell>
        </row>
        <row r="604">
          <cell r="F604" t="str">
            <v>JORUM</v>
          </cell>
          <cell r="G604"/>
          <cell r="H604" t="str">
            <v>416</v>
          </cell>
          <cell r="I604" t="str">
            <v>03</v>
          </cell>
          <cell r="J604" t="str">
            <v>x</v>
          </cell>
          <cell r="K604" t="str">
            <v>YES</v>
          </cell>
          <cell r="L604" t="str">
            <v>YES</v>
          </cell>
          <cell r="M604" t="str">
            <v>YES</v>
          </cell>
          <cell r="N604" t="str">
            <v>YES</v>
          </cell>
          <cell r="O604" t="str">
            <v>YES</v>
          </cell>
          <cell r="P604" t="str">
            <v>YES</v>
          </cell>
          <cell r="Q604" t="str">
            <v>YES</v>
          </cell>
          <cell r="R604" t="str">
            <v>YES</v>
          </cell>
          <cell r="S604" t="str">
            <v>YES</v>
          </cell>
          <cell r="T604" t="str">
            <v>YES</v>
          </cell>
          <cell r="U604"/>
          <cell r="V604"/>
          <cell r="W604"/>
          <cell r="X604"/>
          <cell r="Y604" t="str">
            <v>Live</v>
          </cell>
          <cell r="Z604" t="str">
            <v>Bilateral</v>
          </cell>
        </row>
        <row r="605">
          <cell r="F605" t="str">
            <v>GUYUM</v>
          </cell>
          <cell r="G605"/>
          <cell r="H605" t="str">
            <v>738</v>
          </cell>
          <cell r="I605" t="str">
            <v>01</v>
          </cell>
          <cell r="J605" t="str">
            <v>x</v>
          </cell>
          <cell r="K605" t="str">
            <v>YES</v>
          </cell>
          <cell r="L605" t="str">
            <v>YES</v>
          </cell>
          <cell r="M605" t="str">
            <v>YES</v>
          </cell>
          <cell r="N605"/>
          <cell r="O605" t="str">
            <v>YES</v>
          </cell>
          <cell r="P605" t="str">
            <v>YES</v>
          </cell>
          <cell r="Q605" t="str">
            <v>YES</v>
          </cell>
          <cell r="R605" t="str">
            <v>YES</v>
          </cell>
          <cell r="S605" t="str">
            <v>YES</v>
          </cell>
          <cell r="T605" t="str">
            <v>YES</v>
          </cell>
          <cell r="U605"/>
          <cell r="V605"/>
          <cell r="W605"/>
          <cell r="X605"/>
          <cell r="Y605" t="str">
            <v>Live</v>
          </cell>
          <cell r="Z605" t="str">
            <v>Bilateral</v>
          </cell>
        </row>
        <row r="606">
          <cell r="F606" t="str">
            <v>BRNBR</v>
          </cell>
          <cell r="G606" t="str">
            <v>BRNK9</v>
          </cell>
          <cell r="H606">
            <v>528</v>
          </cell>
          <cell r="I606" t="str">
            <v>11</v>
          </cell>
          <cell r="J606" t="str">
            <v>x</v>
          </cell>
          <cell r="K606" t="str">
            <v>YES</v>
          </cell>
          <cell r="L606"/>
          <cell r="M606" t="str">
            <v>YES</v>
          </cell>
          <cell r="N606"/>
          <cell r="O606" t="str">
            <v>YES</v>
          </cell>
          <cell r="P606"/>
          <cell r="Q606" t="str">
            <v>YES</v>
          </cell>
          <cell r="R606"/>
          <cell r="S606"/>
          <cell r="T606"/>
          <cell r="U606"/>
          <cell r="V606"/>
          <cell r="W606"/>
          <cell r="X606"/>
          <cell r="Y606" t="str">
            <v>Live</v>
          </cell>
          <cell r="Z606" t="str">
            <v>Comfone</v>
          </cell>
        </row>
        <row r="607">
          <cell r="F607" t="str">
            <v>USAUN</v>
          </cell>
          <cell r="G607" t="str">
            <v>USAK8</v>
          </cell>
          <cell r="H607" t="str">
            <v>310</v>
          </cell>
          <cell r="I607" t="str">
            <v>020</v>
          </cell>
          <cell r="J607" t="str">
            <v>x</v>
          </cell>
          <cell r="K607" t="str">
            <v>YES</v>
          </cell>
          <cell r="L607" t="str">
            <v>YES</v>
          </cell>
          <cell r="M607" t="str">
            <v>N.A</v>
          </cell>
          <cell r="N607" t="str">
            <v>YES</v>
          </cell>
          <cell r="O607" t="str">
            <v>YES</v>
          </cell>
          <cell r="P607" t="str">
            <v>YES</v>
          </cell>
          <cell r="Q607" t="str">
            <v>YES</v>
          </cell>
          <cell r="R607" t="str">
            <v>YES</v>
          </cell>
          <cell r="S607" t="str">
            <v>YES</v>
          </cell>
          <cell r="T607" t="str">
            <v>YES</v>
          </cell>
          <cell r="U607"/>
          <cell r="V607"/>
          <cell r="W607"/>
          <cell r="X607"/>
          <cell r="Y607" t="str">
            <v>Live</v>
          </cell>
          <cell r="Z607" t="str">
            <v>Comfone</v>
          </cell>
        </row>
        <row r="608">
          <cell r="F608" t="str">
            <v>AGOUT</v>
          </cell>
          <cell r="G608"/>
          <cell r="H608" t="str">
            <v>631</v>
          </cell>
          <cell r="I608" t="str">
            <v>02</v>
          </cell>
          <cell r="J608" t="str">
            <v>x</v>
          </cell>
          <cell r="K608" t="str">
            <v>YES</v>
          </cell>
          <cell r="L608" t="str">
            <v>YES</v>
          </cell>
          <cell r="M608"/>
          <cell r="N608"/>
          <cell r="O608" t="str">
            <v>YES</v>
          </cell>
          <cell r="P608" t="str">
            <v>YES</v>
          </cell>
          <cell r="Q608" t="str">
            <v>YES</v>
          </cell>
          <cell r="R608" t="str">
            <v>YES</v>
          </cell>
          <cell r="S608"/>
          <cell r="T608"/>
          <cell r="U608"/>
          <cell r="V608"/>
          <cell r="W608"/>
          <cell r="X608"/>
          <cell r="Y608" t="str">
            <v>Live</v>
          </cell>
          <cell r="Z608" t="str">
            <v>Bilateral</v>
          </cell>
        </row>
        <row r="609">
          <cell r="F609" t="str">
            <v>MNGMN</v>
          </cell>
          <cell r="G609"/>
          <cell r="H609" t="str">
            <v>428</v>
          </cell>
          <cell r="I609" t="str">
            <v>88</v>
          </cell>
          <cell r="J609" t="str">
            <v>x</v>
          </cell>
          <cell r="K609" t="str">
            <v>YES</v>
          </cell>
          <cell r="L609" t="str">
            <v>YES</v>
          </cell>
          <cell r="M609" t="str">
            <v>YES</v>
          </cell>
          <cell r="N609" t="str">
            <v>YES</v>
          </cell>
          <cell r="O609" t="str">
            <v>YES</v>
          </cell>
          <cell r="P609" t="str">
            <v>YES</v>
          </cell>
          <cell r="Q609" t="str">
            <v>YES</v>
          </cell>
          <cell r="R609" t="str">
            <v>YES</v>
          </cell>
          <cell r="S609"/>
          <cell r="T609"/>
          <cell r="U609"/>
          <cell r="V609"/>
          <cell r="W609"/>
          <cell r="X609"/>
          <cell r="Y609" t="str">
            <v>Live</v>
          </cell>
          <cell r="Z609" t="str">
            <v>Bilateral</v>
          </cell>
        </row>
        <row r="610">
          <cell r="F610" t="str">
            <v>STPUT</v>
          </cell>
          <cell r="G610" t="str">
            <v>STPK8</v>
          </cell>
          <cell r="H610" t="str">
            <v>626</v>
          </cell>
          <cell r="I610" t="str">
            <v>02</v>
          </cell>
          <cell r="J610" t="str">
            <v>x</v>
          </cell>
          <cell r="K610" t="str">
            <v>YES</v>
          </cell>
          <cell r="L610" t="str">
            <v>YES</v>
          </cell>
          <cell r="M610" t="str">
            <v>N.A</v>
          </cell>
          <cell r="N610" t="str">
            <v>YES</v>
          </cell>
          <cell r="O610" t="str">
            <v>YES</v>
          </cell>
          <cell r="P610" t="str">
            <v>YES</v>
          </cell>
          <cell r="Q610" t="str">
            <v>YES</v>
          </cell>
          <cell r="R610" t="str">
            <v>YES</v>
          </cell>
          <cell r="S610" t="str">
            <v>N.A</v>
          </cell>
          <cell r="T610"/>
          <cell r="U610"/>
          <cell r="V610"/>
          <cell r="W610"/>
          <cell r="X610"/>
          <cell r="Y610" t="str">
            <v>Live</v>
          </cell>
          <cell r="Z610" t="str">
            <v>Comfone</v>
          </cell>
        </row>
        <row r="611">
          <cell r="F611" t="str">
            <v>UZBDU</v>
          </cell>
          <cell r="G611"/>
          <cell r="H611" t="str">
            <v>434</v>
          </cell>
          <cell r="I611" t="str">
            <v>04</v>
          </cell>
          <cell r="J611" t="str">
            <v>x</v>
          </cell>
          <cell r="K611" t="str">
            <v>YES</v>
          </cell>
          <cell r="L611" t="str">
            <v>YES</v>
          </cell>
          <cell r="M611" t="str">
            <v>YES</v>
          </cell>
          <cell r="N611" t="str">
            <v>YES</v>
          </cell>
          <cell r="O611" t="str">
            <v>YES</v>
          </cell>
          <cell r="P611" t="str">
            <v>YES</v>
          </cell>
          <cell r="Q611" t="str">
            <v>YES</v>
          </cell>
          <cell r="R611" t="str">
            <v>YES</v>
          </cell>
          <cell r="S611"/>
          <cell r="T611"/>
          <cell r="U611"/>
          <cell r="V611"/>
          <cell r="W611"/>
          <cell r="X611"/>
          <cell r="Y611" t="str">
            <v>Live</v>
          </cell>
          <cell r="Z611" t="str">
            <v>Bilateral</v>
          </cell>
        </row>
        <row r="612">
          <cell r="F612" t="str">
            <v>UKRUT</v>
          </cell>
          <cell r="G612"/>
          <cell r="H612" t="str">
            <v>255</v>
          </cell>
          <cell r="I612" t="str">
            <v>07</v>
          </cell>
          <cell r="J612" t="str">
            <v>x</v>
          </cell>
          <cell r="K612" t="str">
            <v>YES</v>
          </cell>
          <cell r="L612" t="str">
            <v>YES</v>
          </cell>
          <cell r="M612" t="str">
            <v>YES</v>
          </cell>
          <cell r="N612" t="str">
            <v>YES</v>
          </cell>
          <cell r="O612" t="str">
            <v>YES</v>
          </cell>
          <cell r="P612" t="str">
            <v>YES</v>
          </cell>
          <cell r="Q612" t="str">
            <v>YES</v>
          </cell>
          <cell r="R612" t="str">
            <v>YES</v>
          </cell>
          <cell r="S612"/>
          <cell r="T612"/>
          <cell r="U612"/>
          <cell r="V612"/>
          <cell r="W612"/>
          <cell r="X612"/>
          <cell r="Y612" t="str">
            <v>Live</v>
          </cell>
          <cell r="Z612" t="str">
            <v>Bilateral</v>
          </cell>
        </row>
        <row r="613">
          <cell r="F613" t="str">
            <v>UZB00</v>
          </cell>
          <cell r="G613" t="str">
            <v>UZBK7</v>
          </cell>
          <cell r="H613" t="str">
            <v>434</v>
          </cell>
          <cell r="I613" t="str">
            <v>08</v>
          </cell>
          <cell r="J613" t="str">
            <v>x</v>
          </cell>
          <cell r="K613" t="str">
            <v>YES</v>
          </cell>
          <cell r="L613" t="str">
            <v>YES</v>
          </cell>
          <cell r="M613" t="str">
            <v>YES</v>
          </cell>
          <cell r="N613" t="str">
            <v>YES</v>
          </cell>
          <cell r="O613" t="str">
            <v>YES</v>
          </cell>
          <cell r="P613" t="str">
            <v>YES</v>
          </cell>
          <cell r="Q613" t="str">
            <v>YES</v>
          </cell>
          <cell r="R613" t="str">
            <v>YES</v>
          </cell>
          <cell r="S613" t="str">
            <v>YES</v>
          </cell>
          <cell r="T613" t="str">
            <v>YES</v>
          </cell>
          <cell r="U613"/>
          <cell r="V613"/>
          <cell r="W613"/>
          <cell r="X613"/>
          <cell r="Y613" t="str">
            <v>Live</v>
          </cell>
          <cell r="Z613" t="str">
            <v>Comfone</v>
          </cell>
        </row>
        <row r="614">
          <cell r="F614" t="str">
            <v>BLRMD</v>
          </cell>
          <cell r="G614"/>
          <cell r="H614" t="str">
            <v>257</v>
          </cell>
          <cell r="I614" t="str">
            <v>01</v>
          </cell>
          <cell r="J614" t="str">
            <v>x</v>
          </cell>
          <cell r="K614" t="str">
            <v>YES</v>
          </cell>
          <cell r="L614" t="str">
            <v>YES</v>
          </cell>
          <cell r="M614" t="str">
            <v>YES</v>
          </cell>
          <cell r="N614"/>
          <cell r="O614" t="str">
            <v>YES</v>
          </cell>
          <cell r="P614" t="str">
            <v>YES</v>
          </cell>
          <cell r="Q614" t="str">
            <v>YES</v>
          </cell>
          <cell r="R614" t="str">
            <v>YES</v>
          </cell>
          <cell r="S614"/>
          <cell r="T614"/>
          <cell r="U614"/>
          <cell r="V614"/>
          <cell r="W614"/>
          <cell r="X614"/>
          <cell r="Y614" t="str">
            <v>Live</v>
          </cell>
          <cell r="Z614" t="str">
            <v>Bilateral</v>
          </cell>
        </row>
        <row r="615">
          <cell r="F615" t="str">
            <v>USAVZ</v>
          </cell>
          <cell r="G615" t="str">
            <v>USAK4</v>
          </cell>
          <cell r="H615" t="str">
            <v>311</v>
          </cell>
          <cell r="I615" t="str">
            <v>480</v>
          </cell>
          <cell r="J615" t="str">
            <v>x</v>
          </cell>
          <cell r="K615" t="str">
            <v>YES</v>
          </cell>
          <cell r="L615" t="str">
            <v>N.A</v>
          </cell>
          <cell r="M615" t="str">
            <v>N.A</v>
          </cell>
          <cell r="N615" t="str">
            <v>N.A</v>
          </cell>
          <cell r="O615" t="str">
            <v>YES</v>
          </cell>
          <cell r="P615" t="str">
            <v>N.A</v>
          </cell>
          <cell r="Q615" t="str">
            <v>YES</v>
          </cell>
          <cell r="R615" t="str">
            <v>N.A</v>
          </cell>
          <cell r="S615" t="str">
            <v>YES</v>
          </cell>
          <cell r="T615" t="str">
            <v>N.A</v>
          </cell>
          <cell r="U615"/>
          <cell r="V615"/>
          <cell r="W615"/>
          <cell r="X615"/>
          <cell r="Y615" t="str">
            <v>Live</v>
          </cell>
          <cell r="Z615" t="str">
            <v>Comfone</v>
          </cell>
        </row>
        <row r="616">
          <cell r="F616" t="str">
            <v>USAVM</v>
          </cell>
          <cell r="G616" t="str">
            <v>USAKU</v>
          </cell>
          <cell r="H616" t="str">
            <v>311</v>
          </cell>
          <cell r="I616" t="str">
            <v>270</v>
          </cell>
          <cell r="J616" t="str">
            <v>x</v>
          </cell>
          <cell r="K616" t="str">
            <v>YES</v>
          </cell>
          <cell r="L616" t="str">
            <v>N.A</v>
          </cell>
          <cell r="M616" t="str">
            <v>N.A</v>
          </cell>
          <cell r="N616" t="str">
            <v>N.A</v>
          </cell>
          <cell r="O616" t="str">
            <v>YES</v>
          </cell>
          <cell r="P616" t="str">
            <v>N.A</v>
          </cell>
          <cell r="Q616" t="str">
            <v>YES</v>
          </cell>
          <cell r="R616" t="str">
            <v>N.A</v>
          </cell>
          <cell r="S616" t="str">
            <v>YES</v>
          </cell>
          <cell r="T616" t="str">
            <v>N.A</v>
          </cell>
          <cell r="U616"/>
          <cell r="V616"/>
          <cell r="W616"/>
          <cell r="X616"/>
          <cell r="Y616" t="str">
            <v>Live</v>
          </cell>
          <cell r="Z616" t="str">
            <v>Comfone</v>
          </cell>
        </row>
        <row r="617">
          <cell r="F617" t="str">
            <v>CANVT</v>
          </cell>
          <cell r="G617" t="str">
            <v>CANO1</v>
          </cell>
          <cell r="H617" t="str">
            <v>302</v>
          </cell>
          <cell r="I617" t="str">
            <v>500</v>
          </cell>
          <cell r="J617" t="str">
            <v>x</v>
          </cell>
          <cell r="K617" t="str">
            <v>YES</v>
          </cell>
          <cell r="L617" t="str">
            <v>N.A</v>
          </cell>
          <cell r="M617" t="str">
            <v>N.A</v>
          </cell>
          <cell r="N617" t="str">
            <v>N.A</v>
          </cell>
          <cell r="O617" t="str">
            <v>YES</v>
          </cell>
          <cell r="P617" t="str">
            <v>N.A</v>
          </cell>
          <cell r="Q617" t="str">
            <v>YES</v>
          </cell>
          <cell r="R617" t="str">
            <v>N.A</v>
          </cell>
          <cell r="S617" t="str">
            <v>YES</v>
          </cell>
          <cell r="T617" t="str">
            <v>N.A</v>
          </cell>
          <cell r="U617"/>
          <cell r="V617"/>
          <cell r="W617"/>
          <cell r="X617"/>
          <cell r="Y617" t="str">
            <v>Live</v>
          </cell>
          <cell r="Z617" t="str">
            <v>Orange Hub</v>
          </cell>
        </row>
        <row r="618">
          <cell r="F618" t="str">
            <v>PERVG</v>
          </cell>
          <cell r="G618" t="str">
            <v>PERK8</v>
          </cell>
          <cell r="H618" t="str">
            <v>716</v>
          </cell>
          <cell r="I618" t="str">
            <v>15</v>
          </cell>
          <cell r="J618" t="str">
            <v>x</v>
          </cell>
          <cell r="K618"/>
          <cell r="L618" t="str">
            <v>YES</v>
          </cell>
          <cell r="M618"/>
          <cell r="N618" t="str">
            <v>YES</v>
          </cell>
          <cell r="O618"/>
          <cell r="P618" t="str">
            <v>YES</v>
          </cell>
          <cell r="Q618"/>
          <cell r="R618" t="str">
            <v>YES</v>
          </cell>
          <cell r="S618" t="str">
            <v>N.A</v>
          </cell>
          <cell r="T618"/>
          <cell r="U618"/>
          <cell r="V618"/>
          <cell r="W618"/>
          <cell r="X618"/>
          <cell r="Y618" t="str">
            <v>Live</v>
          </cell>
          <cell r="Z618" t="str">
            <v>Comfone</v>
          </cell>
        </row>
        <row r="619">
          <cell r="F619" t="str">
            <v>TZAVG</v>
          </cell>
          <cell r="G619" t="str">
            <v>TZAK6</v>
          </cell>
          <cell r="H619" t="str">
            <v>640</v>
          </cell>
          <cell r="I619" t="str">
            <v>09</v>
          </cell>
          <cell r="J619" t="str">
            <v>x</v>
          </cell>
          <cell r="K619" t="str">
            <v>N.A</v>
          </cell>
          <cell r="L619" t="str">
            <v>YES</v>
          </cell>
          <cell r="M619" t="str">
            <v>N.A</v>
          </cell>
          <cell r="N619" t="str">
            <v>YES</v>
          </cell>
          <cell r="O619" t="str">
            <v>N.A</v>
          </cell>
          <cell r="P619" t="str">
            <v>YES</v>
          </cell>
          <cell r="Q619" t="str">
            <v>N.A</v>
          </cell>
          <cell r="R619" t="str">
            <v>YES</v>
          </cell>
          <cell r="S619" t="str">
            <v>N.A</v>
          </cell>
          <cell r="T619"/>
          <cell r="U619"/>
          <cell r="V619"/>
          <cell r="W619"/>
          <cell r="X619"/>
          <cell r="Y619" t="str">
            <v>Live</v>
          </cell>
          <cell r="Z619" t="str">
            <v>Comfone</v>
          </cell>
        </row>
        <row r="620">
          <cell r="F620" t="str">
            <v>VNMVT</v>
          </cell>
          <cell r="G620" t="str">
            <v>VNMK8</v>
          </cell>
          <cell r="H620" t="str">
            <v>452</v>
          </cell>
          <cell r="I620" t="str">
            <v>04</v>
          </cell>
          <cell r="J620" t="str">
            <v>x</v>
          </cell>
          <cell r="K620" t="str">
            <v>YES</v>
          </cell>
          <cell r="L620" t="str">
            <v>YES</v>
          </cell>
          <cell r="M620" t="str">
            <v>YES</v>
          </cell>
          <cell r="N620" t="str">
            <v>YES</v>
          </cell>
          <cell r="O620" t="str">
            <v>YES</v>
          </cell>
          <cell r="P620" t="str">
            <v>Arrêté</v>
          </cell>
          <cell r="Q620" t="str">
            <v>N.A</v>
          </cell>
          <cell r="R620" t="str">
            <v>Arrêté</v>
          </cell>
          <cell r="S620" t="str">
            <v>YES</v>
          </cell>
          <cell r="T620" t="str">
            <v>YES</v>
          </cell>
          <cell r="U620"/>
          <cell r="V620"/>
          <cell r="W620"/>
          <cell r="X620"/>
          <cell r="Y620" t="str">
            <v>Live</v>
          </cell>
          <cell r="Z620" t="str">
            <v>Comfone</v>
          </cell>
        </row>
        <row r="621">
          <cell r="F621" t="str">
            <v>RUSBD</v>
          </cell>
          <cell r="G621"/>
          <cell r="H621" t="str">
            <v>250</v>
          </cell>
          <cell r="I621" t="str">
            <v>99</v>
          </cell>
          <cell r="J621" t="str">
            <v>x</v>
          </cell>
          <cell r="K621" t="str">
            <v>YES</v>
          </cell>
          <cell r="L621" t="str">
            <v>YES</v>
          </cell>
          <cell r="M621" t="str">
            <v>YES</v>
          </cell>
          <cell r="N621" t="str">
            <v>YES</v>
          </cell>
          <cell r="O621" t="str">
            <v>YES</v>
          </cell>
          <cell r="P621" t="str">
            <v>YES</v>
          </cell>
          <cell r="Q621" t="str">
            <v>YES</v>
          </cell>
          <cell r="R621" t="str">
            <v>YES</v>
          </cell>
          <cell r="S621" t="str">
            <v>YES</v>
          </cell>
          <cell r="T621" t="str">
            <v>YES</v>
          </cell>
          <cell r="U621"/>
          <cell r="V621"/>
          <cell r="W621"/>
          <cell r="X621"/>
          <cell r="Y621" t="str">
            <v>Live</v>
          </cell>
          <cell r="Z621" t="str">
            <v>Bilateral</v>
          </cell>
        </row>
        <row r="622">
          <cell r="F622" t="str">
            <v>VNMVI</v>
          </cell>
          <cell r="G622" t="str">
            <v>VNMK6</v>
          </cell>
          <cell r="H622" t="str">
            <v>452</v>
          </cell>
          <cell r="I622" t="str">
            <v>02</v>
          </cell>
          <cell r="J622" t="str">
            <v>x</v>
          </cell>
          <cell r="K622" t="str">
            <v>YES</v>
          </cell>
          <cell r="L622" t="str">
            <v>YES</v>
          </cell>
          <cell r="M622" t="str">
            <v>N.A</v>
          </cell>
          <cell r="N622"/>
          <cell r="O622" t="str">
            <v>YES</v>
          </cell>
          <cell r="P622" t="str">
            <v>YES</v>
          </cell>
          <cell r="Q622" t="str">
            <v>YES</v>
          </cell>
          <cell r="R622" t="str">
            <v>YES</v>
          </cell>
          <cell r="S622"/>
          <cell r="T622"/>
          <cell r="U622"/>
          <cell r="V622"/>
          <cell r="W622"/>
          <cell r="X622"/>
          <cell r="Y622" t="str">
            <v>Live</v>
          </cell>
          <cell r="Z622" t="str">
            <v>Comfone</v>
          </cell>
        </row>
        <row r="623">
          <cell r="F623" t="str">
            <v>GBRCN</v>
          </cell>
          <cell r="G623"/>
          <cell r="H623" t="str">
            <v>234</v>
          </cell>
          <cell r="I623" t="str">
            <v>10</v>
          </cell>
          <cell r="J623" t="str">
            <v>x</v>
          </cell>
          <cell r="K623" t="str">
            <v>YES</v>
          </cell>
          <cell r="L623" t="str">
            <v>YES</v>
          </cell>
          <cell r="M623" t="str">
            <v>YES</v>
          </cell>
          <cell r="N623" t="str">
            <v>YES</v>
          </cell>
          <cell r="O623" t="str">
            <v>YES</v>
          </cell>
          <cell r="P623" t="str">
            <v>YES</v>
          </cell>
          <cell r="Q623" t="str">
            <v>YES</v>
          </cell>
          <cell r="R623" t="str">
            <v>YES</v>
          </cell>
          <cell r="S623" t="str">
            <v>YES</v>
          </cell>
          <cell r="T623" t="str">
            <v>YES</v>
          </cell>
          <cell r="U623"/>
          <cell r="V623"/>
          <cell r="W623"/>
          <cell r="X623"/>
          <cell r="Y623" t="str">
            <v>Live</v>
          </cell>
          <cell r="Z623" t="str">
            <v>Bilateral</v>
          </cell>
        </row>
        <row r="624">
          <cell r="F624" t="str">
            <v>FRAVM</v>
          </cell>
          <cell r="G624"/>
          <cell r="H624">
            <v>208</v>
          </cell>
          <cell r="I624">
            <v>23</v>
          </cell>
          <cell r="J624" t="str">
            <v>x</v>
          </cell>
          <cell r="K624" t="str">
            <v>YES</v>
          </cell>
          <cell r="L624" t="str">
            <v>N.A</v>
          </cell>
          <cell r="M624"/>
          <cell r="N624" t="str">
            <v>N.A</v>
          </cell>
          <cell r="O624" t="str">
            <v>YES</v>
          </cell>
          <cell r="P624" t="str">
            <v>N.A</v>
          </cell>
          <cell r="Q624" t="str">
            <v>YES</v>
          </cell>
          <cell r="R624" t="str">
            <v>N.A</v>
          </cell>
          <cell r="S624"/>
          <cell r="T624" t="str">
            <v>N.A</v>
          </cell>
          <cell r="U624"/>
          <cell r="V624"/>
          <cell r="W624"/>
          <cell r="X624"/>
          <cell r="Y624" t="str">
            <v>Live</v>
          </cell>
          <cell r="Z624" t="str">
            <v>Bilateral</v>
          </cell>
        </row>
        <row r="625">
          <cell r="F625" t="str">
            <v>BRAV1</v>
          </cell>
          <cell r="G625"/>
          <cell r="H625" t="str">
            <v>724</v>
          </cell>
          <cell r="I625" t="str">
            <v>10</v>
          </cell>
          <cell r="J625" t="str">
            <v>x</v>
          </cell>
          <cell r="K625" t="str">
            <v>YES</v>
          </cell>
          <cell r="L625" t="str">
            <v>YES</v>
          </cell>
          <cell r="M625" t="str">
            <v>YES</v>
          </cell>
          <cell r="N625" t="str">
            <v>YES</v>
          </cell>
          <cell r="O625" t="str">
            <v>YES</v>
          </cell>
          <cell r="P625" t="str">
            <v>YES</v>
          </cell>
          <cell r="Q625" t="str">
            <v>YES</v>
          </cell>
          <cell r="R625" t="str">
            <v>YES</v>
          </cell>
          <cell r="S625" t="str">
            <v>YES</v>
          </cell>
          <cell r="T625" t="str">
            <v>YES</v>
          </cell>
          <cell r="U625"/>
          <cell r="V625"/>
          <cell r="W625"/>
          <cell r="X625"/>
          <cell r="Y625" t="str">
            <v>Live</v>
          </cell>
          <cell r="Z625" t="str">
            <v>Bilateral</v>
          </cell>
        </row>
        <row r="626">
          <cell r="F626" t="str">
            <v>BRAV2</v>
          </cell>
          <cell r="G626"/>
          <cell r="H626" t="str">
            <v>724</v>
          </cell>
          <cell r="I626" t="str">
            <v>06</v>
          </cell>
          <cell r="J626" t="str">
            <v>x</v>
          </cell>
          <cell r="K626" t="str">
            <v>YES</v>
          </cell>
          <cell r="L626" t="str">
            <v>YES</v>
          </cell>
          <cell r="M626" t="str">
            <v>YES</v>
          </cell>
          <cell r="N626" t="str">
            <v>YES</v>
          </cell>
          <cell r="O626" t="str">
            <v>YES</v>
          </cell>
          <cell r="P626" t="str">
            <v>YES</v>
          </cell>
          <cell r="Q626" t="str">
            <v>YES</v>
          </cell>
          <cell r="R626" t="str">
            <v>YES</v>
          </cell>
          <cell r="S626" t="str">
            <v>YES</v>
          </cell>
          <cell r="T626" t="str">
            <v>YES</v>
          </cell>
          <cell r="U626"/>
          <cell r="V626"/>
          <cell r="W626"/>
          <cell r="X626"/>
          <cell r="Y626" t="str">
            <v>Live</v>
          </cell>
          <cell r="Z626" t="str">
            <v>Bilateral</v>
          </cell>
        </row>
        <row r="627">
          <cell r="F627" t="str">
            <v>BRAV3</v>
          </cell>
          <cell r="G627"/>
          <cell r="H627" t="str">
            <v>724</v>
          </cell>
          <cell r="I627" t="str">
            <v>11</v>
          </cell>
          <cell r="J627" t="str">
            <v>x</v>
          </cell>
          <cell r="K627" t="str">
            <v>YES</v>
          </cell>
          <cell r="L627" t="str">
            <v>YES</v>
          </cell>
          <cell r="M627" t="str">
            <v>YES</v>
          </cell>
          <cell r="N627" t="str">
            <v>YES</v>
          </cell>
          <cell r="O627" t="str">
            <v>YES</v>
          </cell>
          <cell r="P627" t="str">
            <v>YES</v>
          </cell>
          <cell r="Q627" t="str">
            <v>YES</v>
          </cell>
          <cell r="R627" t="str">
            <v>YES</v>
          </cell>
          <cell r="S627" t="str">
            <v>YES</v>
          </cell>
          <cell r="T627" t="str">
            <v>YES</v>
          </cell>
          <cell r="U627"/>
          <cell r="V627"/>
          <cell r="W627"/>
          <cell r="X627"/>
          <cell r="Y627" t="str">
            <v>Live</v>
          </cell>
          <cell r="Z627" t="str">
            <v>Bilateral</v>
          </cell>
        </row>
        <row r="628">
          <cell r="F628" t="str">
            <v>BRATC</v>
          </cell>
          <cell r="G628"/>
          <cell r="H628" t="str">
            <v>724</v>
          </cell>
          <cell r="I628" t="str">
            <v>23</v>
          </cell>
          <cell r="J628" t="str">
            <v>x</v>
          </cell>
          <cell r="K628" t="str">
            <v>YES</v>
          </cell>
          <cell r="L628" t="str">
            <v>YES</v>
          </cell>
          <cell r="M628" t="str">
            <v>YES</v>
          </cell>
          <cell r="N628" t="str">
            <v>YES</v>
          </cell>
          <cell r="O628" t="str">
            <v>YES</v>
          </cell>
          <cell r="P628" t="str">
            <v>YES</v>
          </cell>
          <cell r="Q628" t="str">
            <v>YES</v>
          </cell>
          <cell r="R628" t="str">
            <v>YES</v>
          </cell>
          <cell r="S628" t="str">
            <v>YES</v>
          </cell>
          <cell r="T628" t="str">
            <v>YES</v>
          </cell>
          <cell r="U628"/>
          <cell r="V628"/>
          <cell r="W628"/>
          <cell r="X628"/>
          <cell r="Y628" t="str">
            <v>Live</v>
          </cell>
          <cell r="Z628" t="str">
            <v>Bilateral</v>
          </cell>
        </row>
        <row r="629">
          <cell r="F629" t="str">
            <v>VNMMO</v>
          </cell>
          <cell r="G629"/>
          <cell r="H629" t="str">
            <v>452</v>
          </cell>
          <cell r="I629" t="str">
            <v>01</v>
          </cell>
          <cell r="J629" t="str">
            <v>x</v>
          </cell>
          <cell r="K629" t="str">
            <v>YES</v>
          </cell>
          <cell r="L629" t="str">
            <v>YES</v>
          </cell>
          <cell r="M629" t="str">
            <v>YES</v>
          </cell>
          <cell r="N629" t="str">
            <v>YES</v>
          </cell>
          <cell r="O629" t="str">
            <v>YES</v>
          </cell>
          <cell r="P629" t="str">
            <v>YES</v>
          </cell>
          <cell r="Q629" t="str">
            <v>YES</v>
          </cell>
          <cell r="R629" t="str">
            <v>YES</v>
          </cell>
          <cell r="S629"/>
          <cell r="T629"/>
          <cell r="U629"/>
          <cell r="V629"/>
          <cell r="W629"/>
          <cell r="X629"/>
          <cell r="Y629" t="str">
            <v>Live</v>
          </cell>
          <cell r="Z629" t="str">
            <v>Bilateral</v>
          </cell>
        </row>
        <row r="630">
          <cell r="F630" t="str">
            <v>MOZVC</v>
          </cell>
          <cell r="G630" t="str">
            <v>MOZPP</v>
          </cell>
          <cell r="H630" t="str">
            <v>643</v>
          </cell>
          <cell r="I630" t="str">
            <v>04</v>
          </cell>
          <cell r="J630" t="str">
            <v>x</v>
          </cell>
          <cell r="K630" t="str">
            <v>YES</v>
          </cell>
          <cell r="L630" t="str">
            <v>YES</v>
          </cell>
          <cell r="M630"/>
          <cell r="N630"/>
          <cell r="O630" t="str">
            <v>YES</v>
          </cell>
          <cell r="P630" t="str">
            <v>YES</v>
          </cell>
          <cell r="Q630" t="str">
            <v>YES</v>
          </cell>
          <cell r="R630" t="str">
            <v>YES</v>
          </cell>
          <cell r="S630"/>
          <cell r="T630" t="str">
            <v>YES</v>
          </cell>
          <cell r="U630"/>
          <cell r="V630"/>
          <cell r="W630"/>
          <cell r="X630"/>
          <cell r="Y630" t="str">
            <v>Live</v>
          </cell>
          <cell r="Z630" t="str">
            <v>Orange Hub</v>
          </cell>
        </row>
        <row r="631">
          <cell r="F631" t="str">
            <v>CODVC</v>
          </cell>
          <cell r="G631" t="str">
            <v>COD01</v>
          </cell>
          <cell r="H631" t="str">
            <v>630</v>
          </cell>
          <cell r="I631" t="str">
            <v>01</v>
          </cell>
          <cell r="J631" t="str">
            <v>x</v>
          </cell>
          <cell r="K631" t="str">
            <v>YES</v>
          </cell>
          <cell r="L631" t="str">
            <v>YES</v>
          </cell>
          <cell r="M631" t="str">
            <v>YES</v>
          </cell>
          <cell r="N631" t="str">
            <v>YES</v>
          </cell>
          <cell r="O631" t="str">
            <v>YES</v>
          </cell>
          <cell r="P631" t="str">
            <v>YES</v>
          </cell>
          <cell r="Q631" t="str">
            <v>YES</v>
          </cell>
          <cell r="R631" t="str">
            <v>YES</v>
          </cell>
          <cell r="S631" t="str">
            <v>YES</v>
          </cell>
          <cell r="T631" t="str">
            <v>YES</v>
          </cell>
          <cell r="U631"/>
          <cell r="V631"/>
          <cell r="W631"/>
          <cell r="X631"/>
          <cell r="Y631" t="str">
            <v>Live</v>
          </cell>
          <cell r="Z631" t="str">
            <v>Orange Hub</v>
          </cell>
        </row>
        <row r="632">
          <cell r="F632" t="str">
            <v>ZAFVC</v>
          </cell>
          <cell r="G632" t="str">
            <v>ZAFPP</v>
          </cell>
          <cell r="H632" t="str">
            <v>655</v>
          </cell>
          <cell r="I632" t="str">
            <v>01</v>
          </cell>
          <cell r="J632" t="str">
            <v>x</v>
          </cell>
          <cell r="K632" t="str">
            <v>YES</v>
          </cell>
          <cell r="L632" t="str">
            <v>YES</v>
          </cell>
          <cell r="M632" t="str">
            <v>YES</v>
          </cell>
          <cell r="N632" t="str">
            <v>YES</v>
          </cell>
          <cell r="O632" t="str">
            <v>YES</v>
          </cell>
          <cell r="P632" t="str">
            <v>YES</v>
          </cell>
          <cell r="Q632" t="str">
            <v>YES</v>
          </cell>
          <cell r="R632" t="str">
            <v>YES</v>
          </cell>
          <cell r="S632" t="str">
            <v>YES</v>
          </cell>
          <cell r="T632" t="str">
            <v>YES</v>
          </cell>
          <cell r="U632"/>
          <cell r="V632"/>
          <cell r="W632"/>
          <cell r="X632"/>
          <cell r="Y632" t="str">
            <v>Live</v>
          </cell>
          <cell r="Z632" t="str">
            <v>Orange Hub</v>
          </cell>
        </row>
        <row r="633">
          <cell r="F633" t="str">
            <v>TZAVC</v>
          </cell>
          <cell r="G633" t="str">
            <v>TZAPP</v>
          </cell>
          <cell r="H633" t="str">
            <v>640</v>
          </cell>
          <cell r="I633" t="str">
            <v>04</v>
          </cell>
          <cell r="J633" t="str">
            <v>N/A</v>
          </cell>
          <cell r="K633" t="str">
            <v>YES</v>
          </cell>
          <cell r="L633" t="str">
            <v>YES</v>
          </cell>
          <cell r="M633" t="str">
            <v>YES</v>
          </cell>
          <cell r="N633" t="str">
            <v>YES</v>
          </cell>
          <cell r="O633" t="str">
            <v>YES</v>
          </cell>
          <cell r="P633" t="str">
            <v>YES</v>
          </cell>
          <cell r="Q633" t="str">
            <v>YES</v>
          </cell>
          <cell r="R633" t="str">
            <v>YES</v>
          </cell>
          <cell r="S633" t="str">
            <v>YES</v>
          </cell>
          <cell r="T633" t="str">
            <v>YES</v>
          </cell>
          <cell r="U633"/>
          <cell r="V633"/>
          <cell r="W633"/>
          <cell r="X633"/>
          <cell r="Y633" t="str">
            <v>Live</v>
          </cell>
          <cell r="Z633" t="str">
            <v>Orange Hub</v>
          </cell>
        </row>
        <row r="634">
          <cell r="F634" t="str">
            <v>PYFVF</v>
          </cell>
          <cell r="G634" t="str">
            <v>PYF01</v>
          </cell>
          <cell r="H634" t="str">
            <v>547</v>
          </cell>
          <cell r="I634" t="str">
            <v>15</v>
          </cell>
          <cell r="J634" t="str">
            <v>x</v>
          </cell>
          <cell r="K634" t="str">
            <v>YES</v>
          </cell>
          <cell r="L634" t="str">
            <v>YES</v>
          </cell>
          <cell r="M634" t="str">
            <v>YES</v>
          </cell>
          <cell r="N634" t="str">
            <v>YES</v>
          </cell>
          <cell r="O634" t="str">
            <v>YES</v>
          </cell>
          <cell r="P634" t="str">
            <v>YES</v>
          </cell>
          <cell r="Q634" t="str">
            <v>YES</v>
          </cell>
          <cell r="R634" t="str">
            <v>YES</v>
          </cell>
          <cell r="S634" t="str">
            <v>YES</v>
          </cell>
          <cell r="T634" t="str">
            <v>YES</v>
          </cell>
          <cell r="U634"/>
          <cell r="V634"/>
          <cell r="W634"/>
          <cell r="X634"/>
          <cell r="Y634" t="str">
            <v>Live</v>
          </cell>
          <cell r="Z634" t="str">
            <v>Orange Hub</v>
          </cell>
        </row>
        <row r="635">
          <cell r="F635" t="str">
            <v>ALBVF</v>
          </cell>
          <cell r="G635" t="str">
            <v>ALBPP</v>
          </cell>
          <cell r="H635" t="str">
            <v>276</v>
          </cell>
          <cell r="I635" t="str">
            <v>02</v>
          </cell>
          <cell r="J635" t="str">
            <v>x</v>
          </cell>
          <cell r="K635" t="str">
            <v>YES</v>
          </cell>
          <cell r="L635" t="str">
            <v>YES</v>
          </cell>
          <cell r="M635" t="str">
            <v>YES</v>
          </cell>
          <cell r="N635" t="str">
            <v>YES</v>
          </cell>
          <cell r="O635" t="str">
            <v>YES</v>
          </cell>
          <cell r="P635" t="str">
            <v>YES</v>
          </cell>
          <cell r="Q635" t="str">
            <v>YES</v>
          </cell>
          <cell r="R635" t="str">
            <v>YES</v>
          </cell>
          <cell r="S635" t="str">
            <v>YES</v>
          </cell>
          <cell r="T635" t="str">
            <v>YES</v>
          </cell>
          <cell r="U635"/>
          <cell r="V635"/>
          <cell r="W635"/>
          <cell r="X635"/>
          <cell r="Y635" t="str">
            <v>Live</v>
          </cell>
          <cell r="Z635" t="str">
            <v>Orange Hub</v>
          </cell>
        </row>
        <row r="636">
          <cell r="F636" t="str">
            <v>AUSVF</v>
          </cell>
          <cell r="G636"/>
          <cell r="H636" t="str">
            <v>505</v>
          </cell>
          <cell r="I636" t="str">
            <v>03</v>
          </cell>
          <cell r="J636" t="str">
            <v>x</v>
          </cell>
          <cell r="K636" t="str">
            <v>YES</v>
          </cell>
          <cell r="L636" t="str">
            <v>YES</v>
          </cell>
          <cell r="M636" t="str">
            <v>YES</v>
          </cell>
          <cell r="N636" t="str">
            <v>YES</v>
          </cell>
          <cell r="O636" t="str">
            <v>YES</v>
          </cell>
          <cell r="P636" t="str">
            <v>YES</v>
          </cell>
          <cell r="Q636" t="str">
            <v>YES</v>
          </cell>
          <cell r="R636" t="str">
            <v>YES</v>
          </cell>
          <cell r="S636"/>
          <cell r="T636"/>
          <cell r="U636"/>
          <cell r="V636"/>
          <cell r="W636"/>
          <cell r="X636"/>
          <cell r="Y636" t="str">
            <v>Live</v>
          </cell>
          <cell r="Z636" t="str">
            <v>Bilateral</v>
          </cell>
        </row>
        <row r="637">
          <cell r="F637" t="str">
            <v>CZECM</v>
          </cell>
          <cell r="G637" t="str">
            <v>CZEPP</v>
          </cell>
          <cell r="H637" t="str">
            <v>230</v>
          </cell>
          <cell r="I637" t="str">
            <v>03</v>
          </cell>
          <cell r="J637" t="str">
            <v>x</v>
          </cell>
          <cell r="K637" t="str">
            <v>YES</v>
          </cell>
          <cell r="L637" t="str">
            <v>YES</v>
          </cell>
          <cell r="M637" t="str">
            <v>YES</v>
          </cell>
          <cell r="N637" t="str">
            <v>YES</v>
          </cell>
          <cell r="O637" t="str">
            <v>YES</v>
          </cell>
          <cell r="P637" t="str">
            <v>Arrêté</v>
          </cell>
          <cell r="Q637" t="str">
            <v>YES</v>
          </cell>
          <cell r="R637" t="str">
            <v>Arrêté</v>
          </cell>
          <cell r="S637" t="str">
            <v>YES</v>
          </cell>
          <cell r="T637" t="str">
            <v>YES</v>
          </cell>
          <cell r="U637"/>
          <cell r="V637"/>
          <cell r="W637"/>
          <cell r="X637"/>
          <cell r="Y637" t="str">
            <v>Live</v>
          </cell>
          <cell r="Z637" t="str">
            <v>Orange Hub</v>
          </cell>
        </row>
        <row r="638">
          <cell r="F638" t="str">
            <v>DEUD2</v>
          </cell>
          <cell r="G638" t="str">
            <v>DEUTT</v>
          </cell>
          <cell r="H638" t="str">
            <v>262</v>
          </cell>
          <cell r="I638" t="str">
            <v>02</v>
          </cell>
          <cell r="J638" t="str">
            <v>x</v>
          </cell>
          <cell r="K638" t="str">
            <v>YES</v>
          </cell>
          <cell r="L638" t="str">
            <v>YES</v>
          </cell>
          <cell r="M638" t="str">
            <v>YES</v>
          </cell>
          <cell r="N638" t="str">
            <v>YES</v>
          </cell>
          <cell r="O638" t="str">
            <v>YES</v>
          </cell>
          <cell r="P638" t="str">
            <v>YES</v>
          </cell>
          <cell r="Q638" t="str">
            <v>YES</v>
          </cell>
          <cell r="R638" t="str">
            <v>N.A</v>
          </cell>
          <cell r="S638" t="str">
            <v>YES</v>
          </cell>
          <cell r="T638" t="str">
            <v>YES</v>
          </cell>
          <cell r="U638"/>
          <cell r="V638"/>
          <cell r="W638"/>
          <cell r="X638"/>
          <cell r="Y638" t="str">
            <v>Live</v>
          </cell>
          <cell r="Z638" t="str">
            <v>Orange Hub</v>
          </cell>
        </row>
        <row r="639">
          <cell r="F639" t="str">
            <v>EGYMS</v>
          </cell>
          <cell r="G639"/>
          <cell r="H639" t="str">
            <v>602</v>
          </cell>
          <cell r="I639" t="str">
            <v>02</v>
          </cell>
          <cell r="J639" t="str">
            <v>x</v>
          </cell>
          <cell r="K639" t="str">
            <v>YES</v>
          </cell>
          <cell r="L639" t="str">
            <v>YES</v>
          </cell>
          <cell r="M639" t="str">
            <v>YES</v>
          </cell>
          <cell r="N639" t="str">
            <v>YES</v>
          </cell>
          <cell r="O639" t="str">
            <v>YES</v>
          </cell>
          <cell r="P639" t="str">
            <v>YES</v>
          </cell>
          <cell r="Q639" t="str">
            <v>YES</v>
          </cell>
          <cell r="R639" t="str">
            <v>YES</v>
          </cell>
          <cell r="S639" t="str">
            <v>YES</v>
          </cell>
          <cell r="T639" t="str">
            <v>YES</v>
          </cell>
          <cell r="U639"/>
          <cell r="V639"/>
          <cell r="W639"/>
          <cell r="X639"/>
          <cell r="Y639" t="str">
            <v>Live</v>
          </cell>
          <cell r="Z639" t="str">
            <v>Bilateral</v>
          </cell>
        </row>
        <row r="640">
          <cell r="F640" t="str">
            <v>FJIVF</v>
          </cell>
          <cell r="G640" t="str">
            <v>FJIK9</v>
          </cell>
          <cell r="H640" t="str">
            <v>542</v>
          </cell>
          <cell r="I640" t="str">
            <v>01</v>
          </cell>
          <cell r="J640" t="str">
            <v>x</v>
          </cell>
          <cell r="K640"/>
          <cell r="L640" t="str">
            <v>YES</v>
          </cell>
          <cell r="M640"/>
          <cell r="N640" t="str">
            <v>YES</v>
          </cell>
          <cell r="O640"/>
          <cell r="P640" t="str">
            <v>YES</v>
          </cell>
          <cell r="Q640"/>
          <cell r="R640" t="str">
            <v>YES</v>
          </cell>
          <cell r="S640"/>
          <cell r="T640" t="str">
            <v>YES</v>
          </cell>
          <cell r="U640"/>
          <cell r="V640"/>
          <cell r="W640"/>
          <cell r="X640"/>
          <cell r="Y640" t="str">
            <v>Live</v>
          </cell>
          <cell r="Z640" t="str">
            <v>Comfone</v>
          </cell>
        </row>
        <row r="641">
          <cell r="F641" t="str">
            <v>GHAGT</v>
          </cell>
          <cell r="G641" t="str">
            <v>GHAPP</v>
          </cell>
          <cell r="H641" t="str">
            <v>620</v>
          </cell>
          <cell r="I641" t="str">
            <v>02</v>
          </cell>
          <cell r="J641" t="str">
            <v>x</v>
          </cell>
          <cell r="K641" t="str">
            <v>YES</v>
          </cell>
          <cell r="L641" t="str">
            <v>YES</v>
          </cell>
          <cell r="M641" t="str">
            <v>YES</v>
          </cell>
          <cell r="N641" t="str">
            <v>YES</v>
          </cell>
          <cell r="O641" t="str">
            <v>YES</v>
          </cell>
          <cell r="P641" t="str">
            <v>YES</v>
          </cell>
          <cell r="Q641" t="str">
            <v>YES</v>
          </cell>
          <cell r="R641" t="str">
            <v>YES</v>
          </cell>
          <cell r="S641" t="str">
            <v>YES</v>
          </cell>
          <cell r="T641" t="str">
            <v>YES</v>
          </cell>
          <cell r="U641"/>
          <cell r="V641"/>
          <cell r="W641"/>
          <cell r="X641"/>
          <cell r="Y641" t="str">
            <v>Live</v>
          </cell>
          <cell r="Z641" t="str">
            <v>Orange Hub</v>
          </cell>
        </row>
        <row r="642">
          <cell r="F642" t="str">
            <v>GRCPF</v>
          </cell>
          <cell r="G642" t="str">
            <v>GRCPP</v>
          </cell>
          <cell r="H642" t="str">
            <v>202</v>
          </cell>
          <cell r="I642" t="str">
            <v>05</v>
          </cell>
          <cell r="J642" t="str">
            <v>x</v>
          </cell>
          <cell r="K642" t="str">
            <v>YES</v>
          </cell>
          <cell r="L642" t="str">
            <v>YES</v>
          </cell>
          <cell r="M642" t="str">
            <v>YES</v>
          </cell>
          <cell r="N642" t="str">
            <v>YES</v>
          </cell>
          <cell r="O642" t="str">
            <v>YES</v>
          </cell>
          <cell r="P642" t="str">
            <v>Arrêté</v>
          </cell>
          <cell r="Q642" t="str">
            <v>YES</v>
          </cell>
          <cell r="R642" t="str">
            <v>Arrêté</v>
          </cell>
          <cell r="S642" t="str">
            <v>YES</v>
          </cell>
          <cell r="T642" t="str">
            <v>YES</v>
          </cell>
          <cell r="U642"/>
          <cell r="V642"/>
          <cell r="W642"/>
          <cell r="X642"/>
          <cell r="Y642" t="str">
            <v>Live</v>
          </cell>
          <cell r="Z642" t="str">
            <v>Orange Hub</v>
          </cell>
        </row>
        <row r="643">
          <cell r="F643" t="str">
            <v>HUNVR</v>
          </cell>
          <cell r="G643" t="str">
            <v>HUNPP</v>
          </cell>
          <cell r="H643" t="str">
            <v>216</v>
          </cell>
          <cell r="I643" t="str">
            <v>70</v>
          </cell>
          <cell r="J643" t="str">
            <v>x</v>
          </cell>
          <cell r="K643" t="str">
            <v>YES</v>
          </cell>
          <cell r="L643" t="str">
            <v>YES</v>
          </cell>
          <cell r="M643" t="str">
            <v>YES</v>
          </cell>
          <cell r="N643" t="str">
            <v>YES</v>
          </cell>
          <cell r="O643" t="str">
            <v>YES</v>
          </cell>
          <cell r="P643" t="str">
            <v>YES</v>
          </cell>
          <cell r="Q643" t="str">
            <v>YES</v>
          </cell>
          <cell r="R643" t="str">
            <v>YES</v>
          </cell>
          <cell r="S643" t="str">
            <v>YES</v>
          </cell>
          <cell r="T643" t="str">
            <v>YES</v>
          </cell>
          <cell r="U643"/>
          <cell r="V643"/>
          <cell r="W643"/>
          <cell r="X643"/>
          <cell r="Y643" t="str">
            <v>Live</v>
          </cell>
          <cell r="Z643" t="str">
            <v>Orange Hub</v>
          </cell>
        </row>
        <row r="644">
          <cell r="F644" t="str">
            <v>INDF1</v>
          </cell>
          <cell r="G644"/>
          <cell r="H644" t="str">
            <v>404</v>
          </cell>
          <cell r="I644" t="str">
            <v>05</v>
          </cell>
          <cell r="J644"/>
          <cell r="K644" t="str">
            <v>YES</v>
          </cell>
          <cell r="L644" t="str">
            <v>YES</v>
          </cell>
          <cell r="M644"/>
          <cell r="N644" t="str">
            <v>YES</v>
          </cell>
          <cell r="O644" t="str">
            <v>YES</v>
          </cell>
          <cell r="P644" t="str">
            <v>Arrêté</v>
          </cell>
          <cell r="Q644" t="str">
            <v>N.A</v>
          </cell>
          <cell r="R644" t="str">
            <v>Arrêté</v>
          </cell>
          <cell r="S644"/>
          <cell r="T644"/>
          <cell r="U644"/>
          <cell r="V644"/>
          <cell r="W644"/>
          <cell r="X644"/>
          <cell r="Y644" t="str">
            <v>Live</v>
          </cell>
          <cell r="Z644" t="str">
            <v>Bilateral</v>
          </cell>
        </row>
        <row r="645">
          <cell r="F645" t="str">
            <v>INDHM</v>
          </cell>
          <cell r="G645"/>
          <cell r="H645" t="str">
            <v>404</v>
          </cell>
          <cell r="I645" t="str">
            <v>20</v>
          </cell>
          <cell r="J645"/>
          <cell r="K645" t="str">
            <v>YES</v>
          </cell>
          <cell r="L645" t="str">
            <v>YES</v>
          </cell>
          <cell r="M645"/>
          <cell r="N645" t="str">
            <v>YES</v>
          </cell>
          <cell r="O645" t="str">
            <v>YES</v>
          </cell>
          <cell r="P645" t="str">
            <v>Arrêté</v>
          </cell>
          <cell r="Q645"/>
          <cell r="R645" t="str">
            <v>Arrêté</v>
          </cell>
          <cell r="S645"/>
          <cell r="T645"/>
          <cell r="U645"/>
          <cell r="V645"/>
          <cell r="W645"/>
          <cell r="X645"/>
          <cell r="Y645" t="str">
            <v>Live</v>
          </cell>
          <cell r="Z645" t="str">
            <v>Bilateral</v>
          </cell>
        </row>
        <row r="646">
          <cell r="F646" t="str">
            <v>INDE1</v>
          </cell>
          <cell r="G646"/>
          <cell r="H646" t="str">
            <v>404</v>
          </cell>
          <cell r="I646" t="str">
            <v>11</v>
          </cell>
          <cell r="J646"/>
          <cell r="K646" t="str">
            <v>YES</v>
          </cell>
          <cell r="L646" t="str">
            <v>YES</v>
          </cell>
          <cell r="M646" t="str">
            <v>YES</v>
          </cell>
          <cell r="N646" t="str">
            <v>YES</v>
          </cell>
          <cell r="O646" t="str">
            <v>YES</v>
          </cell>
          <cell r="P646" t="str">
            <v>Arrêté</v>
          </cell>
          <cell r="Q646" t="str">
            <v>N.A</v>
          </cell>
          <cell r="R646" t="str">
            <v>Arrêté</v>
          </cell>
          <cell r="S646"/>
          <cell r="T646"/>
          <cell r="U646"/>
          <cell r="V646"/>
          <cell r="W646"/>
          <cell r="X646"/>
          <cell r="Y646" t="str">
            <v>Live</v>
          </cell>
          <cell r="Z646" t="str">
            <v>Bilateral</v>
          </cell>
        </row>
        <row r="647">
          <cell r="F647" t="str">
            <v>INDBK</v>
          </cell>
          <cell r="G647"/>
          <cell r="H647" t="str">
            <v>404</v>
          </cell>
          <cell r="I647" t="str">
            <v>46</v>
          </cell>
          <cell r="J647" t="str">
            <v>x</v>
          </cell>
          <cell r="K647" t="str">
            <v>YES</v>
          </cell>
          <cell r="L647" t="str">
            <v>YES</v>
          </cell>
          <cell r="M647" t="str">
            <v>YES</v>
          </cell>
          <cell r="N647" t="str">
            <v>YES</v>
          </cell>
          <cell r="O647" t="str">
            <v>YES</v>
          </cell>
          <cell r="P647" t="str">
            <v>Arrêté</v>
          </cell>
          <cell r="Q647"/>
          <cell r="R647" t="str">
            <v>Arrêté</v>
          </cell>
          <cell r="S647"/>
          <cell r="T647"/>
          <cell r="U647"/>
          <cell r="V647"/>
          <cell r="W647"/>
          <cell r="X647"/>
          <cell r="Y647" t="str">
            <v>Live</v>
          </cell>
          <cell r="Z647" t="str">
            <v>Bilateral</v>
          </cell>
        </row>
        <row r="648">
          <cell r="F648" t="str">
            <v>INDCC</v>
          </cell>
          <cell r="G648"/>
          <cell r="H648" t="str">
            <v>404</v>
          </cell>
          <cell r="I648" t="str">
            <v>30</v>
          </cell>
          <cell r="J648"/>
          <cell r="K648" t="str">
            <v>YES</v>
          </cell>
          <cell r="L648" t="str">
            <v>YES</v>
          </cell>
          <cell r="M648"/>
          <cell r="N648"/>
          <cell r="O648" t="str">
            <v>YES</v>
          </cell>
          <cell r="P648" t="str">
            <v>Arrêté</v>
          </cell>
          <cell r="Q648"/>
          <cell r="R648" t="str">
            <v>Arrêté</v>
          </cell>
          <cell r="S648"/>
          <cell r="T648"/>
          <cell r="U648"/>
          <cell r="V648"/>
          <cell r="W648"/>
          <cell r="X648"/>
          <cell r="Y648" t="str">
            <v>Live</v>
          </cell>
          <cell r="Z648" t="str">
            <v>Bilateral</v>
          </cell>
        </row>
        <row r="649">
          <cell r="F649" t="str">
            <v>INDBT</v>
          </cell>
          <cell r="G649"/>
          <cell r="H649" t="str">
            <v>404</v>
          </cell>
          <cell r="I649" t="str">
            <v>43</v>
          </cell>
          <cell r="J649"/>
          <cell r="K649" t="str">
            <v>YES</v>
          </cell>
          <cell r="L649" t="str">
            <v>YES</v>
          </cell>
          <cell r="M649" t="str">
            <v>YES</v>
          </cell>
          <cell r="N649" t="str">
            <v>YES</v>
          </cell>
          <cell r="O649" t="str">
            <v>YES</v>
          </cell>
          <cell r="P649" t="str">
            <v>Arrêté</v>
          </cell>
          <cell r="Q649"/>
          <cell r="R649" t="str">
            <v>Arrêté</v>
          </cell>
          <cell r="S649"/>
          <cell r="T649"/>
          <cell r="U649"/>
          <cell r="V649"/>
          <cell r="W649"/>
          <cell r="X649"/>
          <cell r="Y649" t="str">
            <v>Live</v>
          </cell>
          <cell r="Z649" t="str">
            <v>Bilateral</v>
          </cell>
        </row>
        <row r="650">
          <cell r="F650" t="str">
            <v>IRLEC</v>
          </cell>
          <cell r="G650" t="str">
            <v>IRLPP</v>
          </cell>
          <cell r="H650" t="str">
            <v>272</v>
          </cell>
          <cell r="I650" t="str">
            <v>01</v>
          </cell>
          <cell r="J650" t="str">
            <v>x</v>
          </cell>
          <cell r="K650" t="str">
            <v>YES</v>
          </cell>
          <cell r="L650" t="str">
            <v>YES</v>
          </cell>
          <cell r="M650" t="str">
            <v>YES</v>
          </cell>
          <cell r="N650" t="str">
            <v>YES</v>
          </cell>
          <cell r="O650" t="str">
            <v>YES</v>
          </cell>
          <cell r="P650" t="str">
            <v>Arrêté</v>
          </cell>
          <cell r="Q650" t="str">
            <v>YES</v>
          </cell>
          <cell r="R650" t="str">
            <v>Arrêté</v>
          </cell>
          <cell r="S650" t="str">
            <v>YES</v>
          </cell>
          <cell r="T650" t="str">
            <v>YES</v>
          </cell>
          <cell r="U650"/>
          <cell r="V650"/>
          <cell r="W650"/>
          <cell r="X650"/>
          <cell r="Y650" t="str">
            <v>Live</v>
          </cell>
          <cell r="Z650" t="str">
            <v>Orange Hub</v>
          </cell>
        </row>
        <row r="651">
          <cell r="F651" t="str">
            <v>ITAOM</v>
          </cell>
          <cell r="G651" t="str">
            <v>ITAPP</v>
          </cell>
          <cell r="H651" t="str">
            <v>222</v>
          </cell>
          <cell r="I651" t="str">
            <v>10</v>
          </cell>
          <cell r="J651" t="str">
            <v>x</v>
          </cell>
          <cell r="K651" t="str">
            <v>YES</v>
          </cell>
          <cell r="L651" t="str">
            <v>YES</v>
          </cell>
          <cell r="M651" t="str">
            <v>YES</v>
          </cell>
          <cell r="N651" t="str">
            <v>YES</v>
          </cell>
          <cell r="O651" t="str">
            <v>YES</v>
          </cell>
          <cell r="P651" t="str">
            <v>Arrêté</v>
          </cell>
          <cell r="Q651" t="str">
            <v>YES</v>
          </cell>
          <cell r="R651" t="str">
            <v>Arrêté</v>
          </cell>
          <cell r="S651" t="str">
            <v>YES</v>
          </cell>
          <cell r="T651" t="str">
            <v>YES</v>
          </cell>
          <cell r="U651"/>
          <cell r="V651"/>
          <cell r="W651"/>
          <cell r="X651"/>
          <cell r="Y651" t="str">
            <v>Live</v>
          </cell>
          <cell r="Z651" t="str">
            <v>Orange Hub</v>
          </cell>
        </row>
        <row r="652">
          <cell r="F652" t="str">
            <v>KIRKL</v>
          </cell>
          <cell r="G652" t="str">
            <v>KIRK9</v>
          </cell>
          <cell r="H652" t="str">
            <v>545</v>
          </cell>
          <cell r="I652" t="str">
            <v>01</v>
          </cell>
          <cell r="J652" t="str">
            <v>x</v>
          </cell>
          <cell r="K652" t="str">
            <v>YES</v>
          </cell>
          <cell r="L652" t="str">
            <v>YES</v>
          </cell>
          <cell r="M652" t="str">
            <v>YES</v>
          </cell>
          <cell r="N652" t="str">
            <v>YES</v>
          </cell>
          <cell r="O652" t="str">
            <v>YES</v>
          </cell>
          <cell r="P652" t="str">
            <v>YES</v>
          </cell>
          <cell r="Q652" t="str">
            <v>YES</v>
          </cell>
          <cell r="R652" t="str">
            <v>YES</v>
          </cell>
          <cell r="S652" t="str">
            <v>N.A</v>
          </cell>
          <cell r="T652"/>
          <cell r="U652"/>
          <cell r="V652"/>
          <cell r="W652"/>
          <cell r="X652"/>
          <cell r="Y652" t="str">
            <v>Live</v>
          </cell>
          <cell r="Z652" t="str">
            <v>Comfone</v>
          </cell>
        </row>
        <row r="653">
          <cell r="F653" t="str">
            <v>AAZVF</v>
          </cell>
          <cell r="G653" t="str">
            <v>IRL39</v>
          </cell>
          <cell r="H653" t="str">
            <v>901</v>
          </cell>
          <cell r="I653" t="str">
            <v>28</v>
          </cell>
          <cell r="J653"/>
          <cell r="K653" t="str">
            <v>YES</v>
          </cell>
          <cell r="L653" t="str">
            <v>N.A</v>
          </cell>
          <cell r="M653" t="str">
            <v>N.A</v>
          </cell>
          <cell r="N653" t="str">
            <v>N.A</v>
          </cell>
          <cell r="O653" t="str">
            <v>YES</v>
          </cell>
          <cell r="P653" t="str">
            <v>N.A</v>
          </cell>
          <cell r="Q653" t="str">
            <v>YES</v>
          </cell>
          <cell r="R653" t="str">
            <v>N.A</v>
          </cell>
          <cell r="S653" t="str">
            <v>YES</v>
          </cell>
          <cell r="T653" t="str">
            <v>N.A</v>
          </cell>
          <cell r="U653"/>
          <cell r="V653"/>
          <cell r="W653"/>
          <cell r="X653"/>
          <cell r="Y653" t="str">
            <v>Live</v>
          </cell>
          <cell r="Z653" t="str">
            <v>Orange Hub</v>
          </cell>
        </row>
        <row r="654">
          <cell r="F654" t="str">
            <v>MLTMA</v>
          </cell>
          <cell r="G654" t="str">
            <v>MLTPM</v>
          </cell>
          <cell r="H654" t="str">
            <v>901</v>
          </cell>
          <cell r="I654" t="str">
            <v>19</v>
          </cell>
          <cell r="J654" t="str">
            <v>x</v>
          </cell>
          <cell r="K654" t="str">
            <v>N.A</v>
          </cell>
          <cell r="L654" t="str">
            <v>YES</v>
          </cell>
          <cell r="M654" t="str">
            <v>N.A</v>
          </cell>
          <cell r="N654" t="str">
            <v>YES</v>
          </cell>
          <cell r="O654" t="str">
            <v>N.A</v>
          </cell>
          <cell r="P654" t="str">
            <v>YES</v>
          </cell>
          <cell r="Q654" t="str">
            <v>N.A</v>
          </cell>
          <cell r="R654" t="str">
            <v>YES</v>
          </cell>
          <cell r="S654" t="str">
            <v>N.A</v>
          </cell>
          <cell r="T654" t="str">
            <v>YES</v>
          </cell>
          <cell r="U654"/>
          <cell r="V654"/>
          <cell r="W654"/>
          <cell r="X654"/>
          <cell r="Y654" t="str">
            <v>Live</v>
          </cell>
          <cell r="Z654" t="str">
            <v>Orange Hub</v>
          </cell>
        </row>
        <row r="655">
          <cell r="F655" t="str">
            <v>NLDLT</v>
          </cell>
          <cell r="G655" t="str">
            <v>NLDFF</v>
          </cell>
          <cell r="H655" t="str">
            <v>204</v>
          </cell>
          <cell r="I655" t="str">
            <v>04</v>
          </cell>
          <cell r="J655" t="str">
            <v>x</v>
          </cell>
          <cell r="K655" t="str">
            <v>YES</v>
          </cell>
          <cell r="L655" t="str">
            <v>YES</v>
          </cell>
          <cell r="M655" t="str">
            <v>YES</v>
          </cell>
          <cell r="N655" t="str">
            <v>YES</v>
          </cell>
          <cell r="O655" t="str">
            <v>YES</v>
          </cell>
          <cell r="P655" t="str">
            <v>Arrêté</v>
          </cell>
          <cell r="Q655" t="str">
            <v>YES</v>
          </cell>
          <cell r="R655" t="str">
            <v>Arrêté</v>
          </cell>
          <cell r="S655" t="str">
            <v>YES</v>
          </cell>
          <cell r="T655" t="str">
            <v>YES</v>
          </cell>
          <cell r="U655"/>
          <cell r="V655"/>
          <cell r="W655"/>
          <cell r="X655"/>
          <cell r="Y655" t="str">
            <v>Live</v>
          </cell>
          <cell r="Z655" t="str">
            <v>Orange Hub</v>
          </cell>
        </row>
        <row r="656">
          <cell r="F656" t="str">
            <v>NZLBS</v>
          </cell>
          <cell r="G656" t="str">
            <v>NZLPP</v>
          </cell>
          <cell r="H656" t="str">
            <v>530</v>
          </cell>
          <cell r="I656" t="str">
            <v>01</v>
          </cell>
          <cell r="J656" t="str">
            <v>x</v>
          </cell>
          <cell r="K656" t="str">
            <v>YES</v>
          </cell>
          <cell r="L656" t="str">
            <v>YES</v>
          </cell>
          <cell r="M656" t="str">
            <v>YES</v>
          </cell>
          <cell r="N656" t="str">
            <v>YES</v>
          </cell>
          <cell r="O656" t="str">
            <v>YES</v>
          </cell>
          <cell r="P656" t="str">
            <v>YES</v>
          </cell>
          <cell r="Q656" t="str">
            <v>YES</v>
          </cell>
          <cell r="R656" t="str">
            <v>YES</v>
          </cell>
          <cell r="S656" t="str">
            <v>YES</v>
          </cell>
          <cell r="T656" t="str">
            <v>YES</v>
          </cell>
          <cell r="U656"/>
          <cell r="V656"/>
          <cell r="W656"/>
          <cell r="X656"/>
          <cell r="Y656" t="str">
            <v>Live</v>
          </cell>
          <cell r="Z656" t="str">
            <v>Orange Hub</v>
          </cell>
        </row>
        <row r="657">
          <cell r="F657" t="str">
            <v>OMNGT</v>
          </cell>
          <cell r="G657"/>
          <cell r="H657" t="str">
            <v>422</v>
          </cell>
          <cell r="I657" t="str">
            <v>02</v>
          </cell>
          <cell r="J657" t="str">
            <v>x</v>
          </cell>
          <cell r="K657" t="str">
            <v>YES</v>
          </cell>
          <cell r="L657" t="str">
            <v>YES</v>
          </cell>
          <cell r="M657" t="str">
            <v>YES</v>
          </cell>
          <cell r="N657" t="str">
            <v>YES</v>
          </cell>
          <cell r="O657" t="str">
            <v>YES</v>
          </cell>
          <cell r="P657" t="str">
            <v>YES</v>
          </cell>
          <cell r="Q657" t="str">
            <v>YES</v>
          </cell>
          <cell r="R657" t="str">
            <v>YES</v>
          </cell>
          <cell r="S657" t="str">
            <v>YES</v>
          </cell>
          <cell r="T657" t="str">
            <v>YES</v>
          </cell>
          <cell r="U657"/>
          <cell r="V657"/>
          <cell r="W657"/>
          <cell r="X657"/>
          <cell r="Y657" t="str">
            <v>Live</v>
          </cell>
          <cell r="Z657" t="str">
            <v>Bilateral</v>
          </cell>
        </row>
        <row r="658">
          <cell r="F658" t="str">
            <v>PRTTL</v>
          </cell>
          <cell r="G658" t="str">
            <v>PRTTT</v>
          </cell>
          <cell r="H658" t="str">
            <v>268</v>
          </cell>
          <cell r="I658" t="str">
            <v>01</v>
          </cell>
          <cell r="J658" t="str">
            <v>x</v>
          </cell>
          <cell r="K658" t="str">
            <v>YES</v>
          </cell>
          <cell r="L658" t="str">
            <v>YES</v>
          </cell>
          <cell r="M658" t="str">
            <v>YES</v>
          </cell>
          <cell r="N658" t="str">
            <v>YES</v>
          </cell>
          <cell r="O658" t="str">
            <v>YES</v>
          </cell>
          <cell r="P658" t="str">
            <v>YES</v>
          </cell>
          <cell r="Q658" t="str">
            <v>YES</v>
          </cell>
          <cell r="R658" t="str">
            <v>YES</v>
          </cell>
          <cell r="S658" t="str">
            <v>YES</v>
          </cell>
          <cell r="T658" t="str">
            <v>YES</v>
          </cell>
          <cell r="U658"/>
          <cell r="V658"/>
          <cell r="W658"/>
          <cell r="X658"/>
          <cell r="Y658" t="str">
            <v>Live</v>
          </cell>
          <cell r="Z658" t="str">
            <v>Orange Hub</v>
          </cell>
        </row>
        <row r="659">
          <cell r="F659" t="str">
            <v>QATB1</v>
          </cell>
          <cell r="G659"/>
          <cell r="H659" t="str">
            <v>427</v>
          </cell>
          <cell r="I659" t="str">
            <v>02</v>
          </cell>
          <cell r="J659" t="str">
            <v>x</v>
          </cell>
          <cell r="K659" t="str">
            <v>YES</v>
          </cell>
          <cell r="L659" t="str">
            <v>YES</v>
          </cell>
          <cell r="M659" t="str">
            <v>YES</v>
          </cell>
          <cell r="N659" t="str">
            <v>YES</v>
          </cell>
          <cell r="O659" t="str">
            <v>YES</v>
          </cell>
          <cell r="P659" t="str">
            <v>YES</v>
          </cell>
          <cell r="Q659" t="str">
            <v>YES</v>
          </cell>
          <cell r="R659" t="str">
            <v>YES</v>
          </cell>
          <cell r="S659" t="str">
            <v>YES</v>
          </cell>
          <cell r="T659" t="str">
            <v>YES</v>
          </cell>
          <cell r="U659"/>
          <cell r="V659"/>
          <cell r="W659"/>
          <cell r="X659"/>
          <cell r="Y659" t="str">
            <v>Live</v>
          </cell>
          <cell r="Z659" t="str">
            <v>Bilateral</v>
          </cell>
        </row>
        <row r="660">
          <cell r="F660" t="str">
            <v>ROMMF</v>
          </cell>
          <cell r="G660" t="str">
            <v>ROMPP</v>
          </cell>
          <cell r="H660" t="str">
            <v>226</v>
          </cell>
          <cell r="I660" t="str">
            <v>01</v>
          </cell>
          <cell r="J660" t="str">
            <v>x</v>
          </cell>
          <cell r="K660" t="str">
            <v>YES</v>
          </cell>
          <cell r="L660" t="str">
            <v>YES</v>
          </cell>
          <cell r="M660" t="str">
            <v>YES</v>
          </cell>
          <cell r="N660" t="str">
            <v>YES</v>
          </cell>
          <cell r="O660" t="str">
            <v>YES</v>
          </cell>
          <cell r="P660" t="str">
            <v>YES</v>
          </cell>
          <cell r="Q660" t="str">
            <v>YES</v>
          </cell>
          <cell r="R660" t="str">
            <v>YES</v>
          </cell>
          <cell r="S660" t="str">
            <v>YES</v>
          </cell>
          <cell r="T660" t="str">
            <v>YES</v>
          </cell>
          <cell r="U660"/>
          <cell r="V660"/>
          <cell r="W660"/>
          <cell r="X660"/>
          <cell r="Y660" t="str">
            <v>Live</v>
          </cell>
          <cell r="Z660" t="str">
            <v>Orange Hub</v>
          </cell>
        </row>
        <row r="661">
          <cell r="F661" t="str">
            <v>ESPAT</v>
          </cell>
          <cell r="G661" t="str">
            <v>ESPTT</v>
          </cell>
          <cell r="H661" t="str">
            <v>214</v>
          </cell>
          <cell r="I661" t="str">
            <v>01</v>
          </cell>
          <cell r="J661" t="str">
            <v>x</v>
          </cell>
          <cell r="K661" t="str">
            <v>YES</v>
          </cell>
          <cell r="L661" t="str">
            <v>YES</v>
          </cell>
          <cell r="M661" t="str">
            <v>YES</v>
          </cell>
          <cell r="N661" t="str">
            <v>YES</v>
          </cell>
          <cell r="O661" t="str">
            <v>YES</v>
          </cell>
          <cell r="P661" t="str">
            <v>YES</v>
          </cell>
          <cell r="Q661" t="str">
            <v>YES</v>
          </cell>
          <cell r="R661" t="str">
            <v>YES</v>
          </cell>
          <cell r="S661" t="str">
            <v>YES</v>
          </cell>
          <cell r="T661" t="str">
            <v>YES</v>
          </cell>
          <cell r="U661"/>
          <cell r="V661"/>
          <cell r="W661"/>
          <cell r="X661"/>
          <cell r="Y661" t="str">
            <v>Live</v>
          </cell>
          <cell r="Z661" t="str">
            <v>Orange Hub</v>
          </cell>
        </row>
        <row r="662">
          <cell r="F662" t="str">
            <v>TURTS</v>
          </cell>
          <cell r="G662" t="str">
            <v>TURPP</v>
          </cell>
          <cell r="H662" t="str">
            <v>286</v>
          </cell>
          <cell r="I662" t="str">
            <v>02</v>
          </cell>
          <cell r="J662" t="str">
            <v>x</v>
          </cell>
          <cell r="K662" t="str">
            <v>YES</v>
          </cell>
          <cell r="L662" t="str">
            <v>YES</v>
          </cell>
          <cell r="M662" t="str">
            <v>YES</v>
          </cell>
          <cell r="N662" t="str">
            <v>YES</v>
          </cell>
          <cell r="O662" t="str">
            <v>YES</v>
          </cell>
          <cell r="P662" t="str">
            <v>YES</v>
          </cell>
          <cell r="Q662" t="str">
            <v>YES</v>
          </cell>
          <cell r="R662" t="str">
            <v>YES</v>
          </cell>
          <cell r="S662" t="str">
            <v>YES</v>
          </cell>
          <cell r="T662" t="str">
            <v>YES</v>
          </cell>
          <cell r="U662"/>
          <cell r="V662"/>
          <cell r="W662"/>
          <cell r="X662"/>
          <cell r="Y662" t="str">
            <v>Live</v>
          </cell>
          <cell r="Z662" t="str">
            <v>Orange Hub</v>
          </cell>
        </row>
        <row r="663">
          <cell r="F663" t="str">
            <v>UKRUM</v>
          </cell>
          <cell r="G663"/>
          <cell r="H663" t="str">
            <v>255</v>
          </cell>
          <cell r="I663" t="str">
            <v>01</v>
          </cell>
          <cell r="J663" t="str">
            <v>x</v>
          </cell>
          <cell r="K663" t="str">
            <v>YES</v>
          </cell>
          <cell r="L663" t="str">
            <v>YES</v>
          </cell>
          <cell r="M663" t="str">
            <v>YES</v>
          </cell>
          <cell r="N663" t="str">
            <v>YES</v>
          </cell>
          <cell r="O663" t="str">
            <v>YES</v>
          </cell>
          <cell r="P663" t="str">
            <v>YES</v>
          </cell>
          <cell r="Q663" t="str">
            <v>YES</v>
          </cell>
          <cell r="R663"/>
          <cell r="S663"/>
          <cell r="T663"/>
          <cell r="U663"/>
          <cell r="V663"/>
          <cell r="W663"/>
          <cell r="X663"/>
          <cell r="Y663" t="str">
            <v>Live</v>
          </cell>
          <cell r="Z663" t="str">
            <v>Bilateral</v>
          </cell>
        </row>
        <row r="664">
          <cell r="F664" t="str">
            <v>GBRVF</v>
          </cell>
          <cell r="G664" t="str">
            <v>GBRTT</v>
          </cell>
          <cell r="H664" t="str">
            <v>234</v>
          </cell>
          <cell r="I664" t="str">
            <v>15</v>
          </cell>
          <cell r="J664" t="str">
            <v>x</v>
          </cell>
          <cell r="K664" t="str">
            <v>YES</v>
          </cell>
          <cell r="L664" t="str">
            <v>YES</v>
          </cell>
          <cell r="M664" t="str">
            <v>YES</v>
          </cell>
          <cell r="N664" t="str">
            <v>YES</v>
          </cell>
          <cell r="O664" t="str">
            <v>YES</v>
          </cell>
          <cell r="P664" t="str">
            <v>YES</v>
          </cell>
          <cell r="Q664" t="str">
            <v>YES</v>
          </cell>
          <cell r="R664" t="str">
            <v>YES</v>
          </cell>
          <cell r="S664" t="str">
            <v>YES</v>
          </cell>
          <cell r="T664" t="str">
            <v>YES</v>
          </cell>
          <cell r="U664"/>
          <cell r="V664"/>
          <cell r="W664"/>
          <cell r="X664"/>
          <cell r="Y664" t="str">
            <v>Live</v>
          </cell>
          <cell r="Z664" t="str">
            <v>Orange Hub</v>
          </cell>
        </row>
        <row r="665">
          <cell r="F665" t="str">
            <v>MARM3</v>
          </cell>
          <cell r="G665"/>
          <cell r="H665" t="str">
            <v>604</v>
          </cell>
          <cell r="I665" t="str">
            <v>02</v>
          </cell>
          <cell r="J665" t="str">
            <v>x</v>
          </cell>
          <cell r="K665" t="str">
            <v>YES</v>
          </cell>
          <cell r="L665" t="str">
            <v>YES</v>
          </cell>
          <cell r="M665" t="str">
            <v>YES</v>
          </cell>
          <cell r="N665" t="str">
            <v>YES</v>
          </cell>
          <cell r="O665" t="str">
            <v>YES</v>
          </cell>
          <cell r="P665" t="str">
            <v>YES</v>
          </cell>
          <cell r="Q665" t="str">
            <v>YES</v>
          </cell>
          <cell r="R665" t="str">
            <v>YES</v>
          </cell>
          <cell r="S665" t="str">
            <v>YES</v>
          </cell>
          <cell r="T665" t="str">
            <v>YES</v>
          </cell>
          <cell r="U665"/>
          <cell r="V665"/>
          <cell r="W665"/>
          <cell r="X665"/>
          <cell r="Y665" t="str">
            <v>Live</v>
          </cell>
          <cell r="Z665" t="str">
            <v>Bilateral</v>
          </cell>
        </row>
        <row r="666">
          <cell r="F666" t="str">
            <v>PAKWA</v>
          </cell>
          <cell r="G666"/>
          <cell r="H666" t="str">
            <v>410</v>
          </cell>
          <cell r="I666" t="str">
            <v>07</v>
          </cell>
          <cell r="J666" t="str">
            <v>x</v>
          </cell>
          <cell r="K666" t="str">
            <v>YES</v>
          </cell>
          <cell r="L666" t="str">
            <v>YES</v>
          </cell>
          <cell r="M666" t="str">
            <v>YES</v>
          </cell>
          <cell r="N666"/>
          <cell r="O666" t="str">
            <v>YES</v>
          </cell>
          <cell r="P666" t="str">
            <v>YES</v>
          </cell>
          <cell r="Q666" t="str">
            <v>YES</v>
          </cell>
          <cell r="R666" t="str">
            <v>YES</v>
          </cell>
          <cell r="S666"/>
          <cell r="T666"/>
          <cell r="U666"/>
          <cell r="V666"/>
          <cell r="W666"/>
          <cell r="X666"/>
          <cell r="Y666" t="str">
            <v>Live</v>
          </cell>
          <cell r="Z666" t="str">
            <v>Bilateral</v>
          </cell>
        </row>
        <row r="667">
          <cell r="F667" t="str">
            <v>KWTNM</v>
          </cell>
          <cell r="G667"/>
          <cell r="H667" t="str">
            <v>419</v>
          </cell>
          <cell r="I667" t="str">
            <v>03</v>
          </cell>
          <cell r="J667" t="str">
            <v>x</v>
          </cell>
          <cell r="K667" t="str">
            <v>YES</v>
          </cell>
          <cell r="L667" t="str">
            <v>YES</v>
          </cell>
          <cell r="M667" t="str">
            <v>YES</v>
          </cell>
          <cell r="N667" t="str">
            <v>YES</v>
          </cell>
          <cell r="O667" t="str">
            <v>YES</v>
          </cell>
          <cell r="P667"/>
          <cell r="Q667" t="str">
            <v>YES</v>
          </cell>
          <cell r="R667"/>
          <cell r="S667" t="str">
            <v>YES</v>
          </cell>
          <cell r="T667"/>
          <cell r="U667"/>
          <cell r="V667"/>
          <cell r="W667"/>
          <cell r="X667"/>
          <cell r="Y667" t="str">
            <v>Live</v>
          </cell>
          <cell r="Z667" t="str">
            <v>Bilateral</v>
          </cell>
        </row>
        <row r="668">
          <cell r="F668" t="str">
            <v>MDVWM</v>
          </cell>
          <cell r="G668"/>
          <cell r="H668" t="str">
            <v>472</v>
          </cell>
          <cell r="I668" t="str">
            <v>02</v>
          </cell>
          <cell r="J668" t="str">
            <v>x</v>
          </cell>
          <cell r="K668" t="str">
            <v>YES</v>
          </cell>
          <cell r="L668" t="str">
            <v>YES</v>
          </cell>
          <cell r="M668"/>
          <cell r="N668" t="str">
            <v>YES</v>
          </cell>
          <cell r="O668" t="str">
            <v>YES</v>
          </cell>
          <cell r="P668" t="str">
            <v>YES</v>
          </cell>
          <cell r="Q668" t="str">
            <v>YES</v>
          </cell>
          <cell r="R668" t="str">
            <v>YES</v>
          </cell>
          <cell r="S668" t="str">
            <v>YES</v>
          </cell>
          <cell r="T668" t="str">
            <v>YES</v>
          </cell>
          <cell r="U668"/>
          <cell r="V668"/>
          <cell r="W668"/>
          <cell r="X668"/>
          <cell r="Y668" t="str">
            <v>Live</v>
          </cell>
          <cell r="Z668" t="str">
            <v>Bilateral</v>
          </cell>
        </row>
        <row r="669">
          <cell r="F669" t="str">
            <v>DZAWT</v>
          </cell>
          <cell r="G669"/>
          <cell r="H669" t="str">
            <v>603</v>
          </cell>
          <cell r="I669" t="str">
            <v>03</v>
          </cell>
          <cell r="J669" t="str">
            <v>x</v>
          </cell>
          <cell r="K669" t="str">
            <v>YES</v>
          </cell>
          <cell r="L669" t="str">
            <v>YES</v>
          </cell>
          <cell r="M669" t="str">
            <v>YES</v>
          </cell>
          <cell r="N669" t="str">
            <v>YES</v>
          </cell>
          <cell r="O669" t="str">
            <v>YES</v>
          </cell>
          <cell r="P669" t="str">
            <v>YES</v>
          </cell>
          <cell r="Q669" t="str">
            <v>YES</v>
          </cell>
          <cell r="R669" t="str">
            <v>YES</v>
          </cell>
          <cell r="S669" t="str">
            <v>YES</v>
          </cell>
          <cell r="T669" t="str">
            <v>YES</v>
          </cell>
          <cell r="U669"/>
          <cell r="V669"/>
          <cell r="W669"/>
          <cell r="X669"/>
          <cell r="Y669" t="str">
            <v>Live</v>
          </cell>
          <cell r="Z669" t="str">
            <v>Bilateral</v>
          </cell>
        </row>
        <row r="670">
          <cell r="F670" t="str">
            <v>PSEWM</v>
          </cell>
          <cell r="G670" t="str">
            <v>PSEFT</v>
          </cell>
          <cell r="H670" t="str">
            <v>425</v>
          </cell>
          <cell r="I670" t="str">
            <v>06</v>
          </cell>
          <cell r="J670" t="str">
            <v>x</v>
          </cell>
          <cell r="K670" t="str">
            <v>YES</v>
          </cell>
          <cell r="L670" t="str">
            <v>YES</v>
          </cell>
          <cell r="M670" t="str">
            <v>YES</v>
          </cell>
          <cell r="N670" t="str">
            <v>YES</v>
          </cell>
          <cell r="O670" t="str">
            <v>YES</v>
          </cell>
          <cell r="P670" t="str">
            <v>YES</v>
          </cell>
          <cell r="Q670" t="str">
            <v>YES</v>
          </cell>
          <cell r="R670" t="str">
            <v>YES</v>
          </cell>
          <cell r="S670" t="str">
            <v>YES</v>
          </cell>
          <cell r="T670" t="str">
            <v>YES</v>
          </cell>
          <cell r="U670"/>
          <cell r="V670"/>
          <cell r="W670"/>
          <cell r="X670"/>
          <cell r="Y670" t="str">
            <v>Live</v>
          </cell>
          <cell r="Z670" t="str">
            <v>Orange Hub</v>
          </cell>
        </row>
        <row r="671">
          <cell r="F671" t="str">
            <v>ITAWI</v>
          </cell>
          <cell r="G671"/>
          <cell r="H671" t="str">
            <v>222</v>
          </cell>
          <cell r="I671" t="str">
            <v>88</v>
          </cell>
          <cell r="J671" t="str">
            <v>x</v>
          </cell>
          <cell r="K671" t="str">
            <v>YES</v>
          </cell>
          <cell r="L671" t="str">
            <v>YES</v>
          </cell>
          <cell r="M671" t="str">
            <v>YES</v>
          </cell>
          <cell r="N671" t="str">
            <v>YES</v>
          </cell>
          <cell r="O671" t="str">
            <v>YES</v>
          </cell>
          <cell r="P671" t="str">
            <v>YES</v>
          </cell>
          <cell r="Q671" t="str">
            <v>YES</v>
          </cell>
          <cell r="R671" t="str">
            <v>YES</v>
          </cell>
          <cell r="S671" t="str">
            <v>YES</v>
          </cell>
          <cell r="T671" t="str">
            <v>YES</v>
          </cell>
          <cell r="U671"/>
          <cell r="V671"/>
          <cell r="W671"/>
          <cell r="X671"/>
          <cell r="Y671" t="str">
            <v>Live</v>
          </cell>
          <cell r="Z671" t="str">
            <v>Bilateral</v>
          </cell>
        </row>
        <row r="672">
          <cell r="F672" t="str">
            <v>CHLN3</v>
          </cell>
          <cell r="G672" t="str">
            <v>CHLK8</v>
          </cell>
          <cell r="H672" t="str">
            <v>730</v>
          </cell>
          <cell r="I672" t="str">
            <v>09</v>
          </cell>
          <cell r="J672" t="str">
            <v>x</v>
          </cell>
          <cell r="K672" t="str">
            <v>YES</v>
          </cell>
          <cell r="L672"/>
          <cell r="M672" t="str">
            <v>N.A</v>
          </cell>
          <cell r="N672"/>
          <cell r="O672" t="str">
            <v>YES</v>
          </cell>
          <cell r="P672"/>
          <cell r="Q672" t="str">
            <v>YES</v>
          </cell>
          <cell r="R672"/>
          <cell r="S672"/>
          <cell r="T672"/>
          <cell r="U672"/>
          <cell r="V672"/>
          <cell r="W672"/>
          <cell r="X672"/>
          <cell r="Y672" t="str">
            <v>Live</v>
          </cell>
          <cell r="Z672" t="str">
            <v>Comfone</v>
          </cell>
        </row>
        <row r="673">
          <cell r="F673" t="str">
            <v>ESPXF</v>
          </cell>
          <cell r="G673"/>
          <cell r="H673" t="str">
            <v>214</v>
          </cell>
          <cell r="I673" t="str">
            <v>04</v>
          </cell>
          <cell r="J673" t="str">
            <v>x</v>
          </cell>
          <cell r="K673" t="str">
            <v>YES</v>
          </cell>
          <cell r="L673" t="str">
            <v>YES</v>
          </cell>
          <cell r="M673" t="str">
            <v>YES</v>
          </cell>
          <cell r="N673" t="str">
            <v>YES</v>
          </cell>
          <cell r="O673" t="str">
            <v>YES</v>
          </cell>
          <cell r="P673" t="str">
            <v>YES</v>
          </cell>
          <cell r="Q673" t="str">
            <v>YES</v>
          </cell>
          <cell r="R673" t="str">
            <v>YES</v>
          </cell>
          <cell r="S673" t="str">
            <v>YES</v>
          </cell>
          <cell r="T673" t="str">
            <v>YES</v>
          </cell>
          <cell r="U673"/>
          <cell r="V673"/>
          <cell r="W673"/>
          <cell r="X673"/>
          <cell r="Y673" t="str">
            <v>Live</v>
          </cell>
          <cell r="Z673" t="str">
            <v>Bilateral</v>
          </cell>
        </row>
        <row r="674">
          <cell r="F674" t="str">
            <v>YEMYY</v>
          </cell>
          <cell r="G674"/>
          <cell r="H674" t="str">
            <v>421</v>
          </cell>
          <cell r="I674" t="str">
            <v>04</v>
          </cell>
          <cell r="J674" t="str">
            <v>x</v>
          </cell>
          <cell r="K674" t="str">
            <v>YES</v>
          </cell>
          <cell r="L674" t="str">
            <v>YES</v>
          </cell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 t="str">
            <v>Live</v>
          </cell>
          <cell r="Z674" t="str">
            <v>Bilateral</v>
          </cell>
        </row>
        <row r="675">
          <cell r="F675" t="str">
            <v>BGRCM</v>
          </cell>
          <cell r="G675"/>
          <cell r="H675" t="str">
            <v>284</v>
          </cell>
          <cell r="I675" t="str">
            <v>05</v>
          </cell>
          <cell r="J675" t="str">
            <v>x</v>
          </cell>
          <cell r="K675" t="str">
            <v>YES</v>
          </cell>
          <cell r="L675" t="str">
            <v>YES</v>
          </cell>
          <cell r="M675" t="str">
            <v>YES</v>
          </cell>
          <cell r="N675" t="str">
            <v>YES</v>
          </cell>
          <cell r="O675" t="str">
            <v>YES</v>
          </cell>
          <cell r="P675" t="str">
            <v>YES</v>
          </cell>
          <cell r="Q675" t="str">
            <v>YES</v>
          </cell>
          <cell r="R675" t="str">
            <v>YES</v>
          </cell>
          <cell r="S675" t="str">
            <v>YES</v>
          </cell>
          <cell r="T675" t="str">
            <v>YES</v>
          </cell>
          <cell r="U675"/>
          <cell r="V675"/>
          <cell r="W675"/>
          <cell r="X675"/>
          <cell r="Y675" t="str">
            <v>Live</v>
          </cell>
          <cell r="Z675" t="str">
            <v>Bilateral</v>
          </cell>
        </row>
        <row r="676">
          <cell r="F676" t="str">
            <v>YUGMT</v>
          </cell>
          <cell r="G676"/>
          <cell r="H676" t="str">
            <v>220</v>
          </cell>
          <cell r="I676" t="str">
            <v>01</v>
          </cell>
          <cell r="J676" t="str">
            <v>x</v>
          </cell>
          <cell r="K676" t="str">
            <v>YES</v>
          </cell>
          <cell r="L676" t="str">
            <v>YES</v>
          </cell>
          <cell r="M676" t="str">
            <v>YES</v>
          </cell>
          <cell r="N676" t="str">
            <v>YES</v>
          </cell>
          <cell r="O676" t="str">
            <v>YES</v>
          </cell>
          <cell r="P676" t="str">
            <v>YES</v>
          </cell>
          <cell r="Q676" t="str">
            <v>YES</v>
          </cell>
          <cell r="R676" t="str">
            <v>YES</v>
          </cell>
          <cell r="S676" t="str">
            <v>YES</v>
          </cell>
          <cell r="T676" t="str">
            <v>YES</v>
          </cell>
          <cell r="U676"/>
          <cell r="V676"/>
          <cell r="W676"/>
          <cell r="X676"/>
          <cell r="Y676" t="str">
            <v>Live</v>
          </cell>
          <cell r="Z676" t="str">
            <v>Bilateral</v>
          </cell>
        </row>
        <row r="677">
          <cell r="F677" t="str">
            <v>HUNH1</v>
          </cell>
          <cell r="G677"/>
          <cell r="H677" t="str">
            <v>216</v>
          </cell>
          <cell r="I677" t="str">
            <v>01</v>
          </cell>
          <cell r="J677" t="str">
            <v>x</v>
          </cell>
          <cell r="K677" t="str">
            <v>YES</v>
          </cell>
          <cell r="L677" t="str">
            <v>YES</v>
          </cell>
          <cell r="M677" t="str">
            <v>YES</v>
          </cell>
          <cell r="N677" t="str">
            <v>YES</v>
          </cell>
          <cell r="O677" t="str">
            <v>YES</v>
          </cell>
          <cell r="P677" t="str">
            <v>YES</v>
          </cell>
          <cell r="Q677" t="str">
            <v>YES</v>
          </cell>
          <cell r="R677" t="str">
            <v>YES</v>
          </cell>
          <cell r="S677" t="str">
            <v>YES</v>
          </cell>
          <cell r="T677" t="str">
            <v>YES</v>
          </cell>
          <cell r="U677"/>
          <cell r="V677"/>
          <cell r="W677"/>
          <cell r="X677"/>
          <cell r="Y677" t="str">
            <v>Live</v>
          </cell>
          <cell r="Z677" t="str">
            <v>Bilateral</v>
          </cell>
        </row>
        <row r="678">
          <cell r="F678" t="str">
            <v>BHRMV</v>
          </cell>
          <cell r="G678"/>
          <cell r="H678" t="str">
            <v>426</v>
          </cell>
          <cell r="I678" t="str">
            <v>02</v>
          </cell>
          <cell r="J678" t="str">
            <v>x</v>
          </cell>
          <cell r="K678" t="str">
            <v>YES</v>
          </cell>
          <cell r="L678" t="str">
            <v>YES</v>
          </cell>
          <cell r="M678" t="str">
            <v>YES</v>
          </cell>
          <cell r="N678" t="str">
            <v>YES</v>
          </cell>
          <cell r="O678" t="str">
            <v>YES</v>
          </cell>
          <cell r="P678" t="str">
            <v>YES</v>
          </cell>
          <cell r="Q678" t="str">
            <v>YES</v>
          </cell>
          <cell r="R678" t="str">
            <v>N.A</v>
          </cell>
          <cell r="S678" t="str">
            <v>YES</v>
          </cell>
          <cell r="T678" t="str">
            <v>YES</v>
          </cell>
          <cell r="U678"/>
          <cell r="V678"/>
          <cell r="W678"/>
          <cell r="X678"/>
          <cell r="Y678" t="str">
            <v>Live</v>
          </cell>
          <cell r="Z678" t="str">
            <v>Bilateral</v>
          </cell>
        </row>
        <row r="679">
          <cell r="F679" t="str">
            <v>IRQAT</v>
          </cell>
          <cell r="G679"/>
          <cell r="H679" t="str">
            <v>418</v>
          </cell>
          <cell r="I679" t="str">
            <v>20</v>
          </cell>
          <cell r="J679" t="str">
            <v>x</v>
          </cell>
          <cell r="K679" t="str">
            <v>YES</v>
          </cell>
          <cell r="L679" t="str">
            <v>YES</v>
          </cell>
          <cell r="M679" t="str">
            <v>YES</v>
          </cell>
          <cell r="N679" t="str">
            <v>YES</v>
          </cell>
          <cell r="O679" t="str">
            <v>YES</v>
          </cell>
          <cell r="P679" t="str">
            <v>YES</v>
          </cell>
          <cell r="Q679" t="str">
            <v>YES</v>
          </cell>
          <cell r="R679" t="str">
            <v>YES</v>
          </cell>
          <cell r="S679"/>
          <cell r="T679"/>
          <cell r="U679"/>
          <cell r="V679"/>
          <cell r="W679"/>
          <cell r="X679"/>
          <cell r="Y679" t="str">
            <v>Live</v>
          </cell>
          <cell r="Z679" t="str">
            <v>Bilateral</v>
          </cell>
        </row>
        <row r="680">
          <cell r="F680" t="str">
            <v>IRQOR</v>
          </cell>
          <cell r="G680"/>
          <cell r="H680" t="str">
            <v>418</v>
          </cell>
          <cell r="I680" t="str">
            <v>30</v>
          </cell>
          <cell r="J680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K680" t="str">
            <v>YES</v>
          </cell>
          <cell r="L680"/>
          <cell r="M680" t="str">
            <v>YES</v>
          </cell>
          <cell r="N680"/>
          <cell r="O680" t="str">
            <v>YES</v>
          </cell>
          <cell r="P680"/>
          <cell r="Q680" t="str">
            <v>YES</v>
          </cell>
          <cell r="R680"/>
          <cell r="S680"/>
          <cell r="T680"/>
          <cell r="U680"/>
          <cell r="V680"/>
          <cell r="W680"/>
          <cell r="X680"/>
          <cell r="Y680" t="str">
            <v>Live</v>
          </cell>
          <cell r="Z680" t="str">
            <v>Bilateral</v>
          </cell>
        </row>
        <row r="681">
          <cell r="F681" t="str">
            <v>JORFL</v>
          </cell>
          <cell r="G681"/>
          <cell r="H681" t="str">
            <v>416</v>
          </cell>
          <cell r="I681" t="str">
            <v>01</v>
          </cell>
          <cell r="J681" t="str">
            <v>x</v>
          </cell>
          <cell r="K681" t="str">
            <v>YES</v>
          </cell>
          <cell r="L681" t="str">
            <v>YES</v>
          </cell>
          <cell r="M681"/>
          <cell r="N681"/>
          <cell r="O681" t="str">
            <v>YES</v>
          </cell>
          <cell r="P681" t="str">
            <v>YES</v>
          </cell>
          <cell r="Q681" t="str">
            <v>YES</v>
          </cell>
          <cell r="R681" t="str">
            <v>YES</v>
          </cell>
          <cell r="S681"/>
          <cell r="T681"/>
          <cell r="U681"/>
          <cell r="V681"/>
          <cell r="W681"/>
          <cell r="X681"/>
          <cell r="Y681" t="str">
            <v>Live</v>
          </cell>
          <cell r="Z681" t="str">
            <v>Bilateral</v>
          </cell>
        </row>
        <row r="682">
          <cell r="F682" t="str">
            <v>SAUZN</v>
          </cell>
          <cell r="G682"/>
          <cell r="H682" t="str">
            <v>420</v>
          </cell>
          <cell r="I682" t="str">
            <v>04</v>
          </cell>
          <cell r="J682" t="str">
            <v>x</v>
          </cell>
          <cell r="K682" t="str">
            <v>YES</v>
          </cell>
          <cell r="L682" t="str">
            <v>YES</v>
          </cell>
          <cell r="M682" t="str">
            <v>YES</v>
          </cell>
          <cell r="N682" t="str">
            <v>YES</v>
          </cell>
          <cell r="O682" t="str">
            <v>YES</v>
          </cell>
          <cell r="P682" t="str">
            <v>YES</v>
          </cell>
          <cell r="Q682" t="str">
            <v>YES</v>
          </cell>
          <cell r="R682" t="str">
            <v>YES</v>
          </cell>
          <cell r="S682" t="str">
            <v>YES</v>
          </cell>
          <cell r="T682" t="str">
            <v>YES</v>
          </cell>
          <cell r="U682"/>
          <cell r="V682"/>
          <cell r="W682"/>
          <cell r="X682"/>
          <cell r="Y682" t="str">
            <v>Live</v>
          </cell>
          <cell r="Z682" t="str">
            <v>Bilateral</v>
          </cell>
        </row>
        <row r="683">
          <cell r="F683" t="str">
            <v>KWTMT</v>
          </cell>
          <cell r="G683"/>
          <cell r="H683" t="str">
            <v>419</v>
          </cell>
          <cell r="I683" t="str">
            <v>02</v>
          </cell>
          <cell r="J683" t="str">
            <v>x</v>
          </cell>
          <cell r="K683" t="str">
            <v>YES</v>
          </cell>
          <cell r="L683" t="str">
            <v>YES</v>
          </cell>
          <cell r="M683" t="str">
            <v>YES</v>
          </cell>
          <cell r="N683" t="str">
            <v>YES</v>
          </cell>
          <cell r="O683" t="str">
            <v>YES</v>
          </cell>
          <cell r="P683" t="str">
            <v>YES</v>
          </cell>
          <cell r="Q683" t="str">
            <v>YES</v>
          </cell>
          <cell r="R683" t="str">
            <v>YES</v>
          </cell>
          <cell r="S683" t="str">
            <v>YES</v>
          </cell>
          <cell r="T683" t="str">
            <v>YES</v>
          </cell>
          <cell r="U683"/>
          <cell r="V683"/>
          <cell r="W683"/>
          <cell r="X683"/>
          <cell r="Y683" t="str">
            <v>Live</v>
          </cell>
          <cell r="Z683" t="str">
            <v>Bilateral</v>
          </cell>
        </row>
        <row r="684">
          <cell r="F684" t="str">
            <v>SUDMO</v>
          </cell>
          <cell r="G684"/>
          <cell r="H684" t="str">
            <v>634</v>
          </cell>
          <cell r="I684" t="str">
            <v>01</v>
          </cell>
          <cell r="J684" t="str">
            <v>x</v>
          </cell>
          <cell r="K684" t="str">
            <v>YES</v>
          </cell>
          <cell r="L684" t="str">
            <v>YES</v>
          </cell>
          <cell r="M684" t="str">
            <v>YES</v>
          </cell>
          <cell r="N684" t="str">
            <v>YES</v>
          </cell>
          <cell r="O684" t="str">
            <v>YES</v>
          </cell>
          <cell r="P684" t="str">
            <v>YES</v>
          </cell>
          <cell r="Q684" t="str">
            <v>YES</v>
          </cell>
          <cell r="R684" t="str">
            <v>YES</v>
          </cell>
          <cell r="S684" t="str">
            <v>YES</v>
          </cell>
          <cell r="T684" t="str">
            <v>Planned</v>
          </cell>
          <cell r="U684"/>
          <cell r="V684"/>
          <cell r="W684"/>
          <cell r="X684"/>
          <cell r="Y684" t="str">
            <v>Live</v>
          </cell>
          <cell r="Z684" t="str">
            <v>Bilateral</v>
          </cell>
        </row>
        <row r="685">
          <cell r="F685" t="str">
            <v>NEROR</v>
          </cell>
          <cell r="G685" t="str">
            <v>NERFT</v>
          </cell>
          <cell r="H685" t="str">
            <v>614</v>
          </cell>
          <cell r="I685" t="str">
            <v>04</v>
          </cell>
          <cell r="J685" t="str">
            <v>x</v>
          </cell>
          <cell r="K685" t="str">
            <v>YES</v>
          </cell>
          <cell r="L685" t="str">
            <v>YES</v>
          </cell>
          <cell r="M685" t="str">
            <v>YES</v>
          </cell>
          <cell r="N685" t="str">
            <v>YES</v>
          </cell>
          <cell r="O685" t="str">
            <v>YES</v>
          </cell>
          <cell r="P685" t="str">
            <v>YES</v>
          </cell>
          <cell r="Q685" t="str">
            <v>YES</v>
          </cell>
          <cell r="R685" t="str">
            <v>YES</v>
          </cell>
          <cell r="S685"/>
          <cell r="T685"/>
          <cell r="U685"/>
          <cell r="V685"/>
          <cell r="W685"/>
          <cell r="X685"/>
          <cell r="Y685" t="str">
            <v>Live</v>
          </cell>
          <cell r="Z685" t="str">
            <v>Orange Hub</v>
          </cell>
        </row>
        <row r="686">
          <cell r="F686" t="str">
            <v>ZMBCZ</v>
          </cell>
          <cell r="G686"/>
          <cell r="H686" t="str">
            <v>645</v>
          </cell>
          <cell r="I686" t="str">
            <v>03</v>
          </cell>
          <cell r="J686" t="str">
            <v>x</v>
          </cell>
          <cell r="K686" t="str">
            <v>YES</v>
          </cell>
          <cell r="L686" t="str">
            <v>YES</v>
          </cell>
          <cell r="M686" t="str">
            <v>YES</v>
          </cell>
          <cell r="N686" t="str">
            <v>YES</v>
          </cell>
          <cell r="O686" t="str">
            <v>YES</v>
          </cell>
          <cell r="P686" t="str">
            <v>Planned</v>
          </cell>
          <cell r="Q686" t="str">
            <v>YES</v>
          </cell>
          <cell r="R686" t="str">
            <v>Planned</v>
          </cell>
          <cell r="S686" t="str">
            <v>YES</v>
          </cell>
          <cell r="T686" t="str">
            <v>Planned</v>
          </cell>
          <cell r="U686"/>
          <cell r="V686"/>
          <cell r="W686"/>
          <cell r="X686"/>
          <cell r="Y686" t="str">
            <v>Live</v>
          </cell>
          <cell r="Z686" t="str">
            <v>Bilateral</v>
          </cell>
        </row>
        <row r="687">
          <cell r="F687" t="str">
            <v>TZAZN</v>
          </cell>
          <cell r="G687" t="str">
            <v>TZAFT</v>
          </cell>
          <cell r="H687" t="str">
            <v>640</v>
          </cell>
          <cell r="I687" t="str">
            <v>03</v>
          </cell>
          <cell r="J687" t="str">
            <v>x</v>
          </cell>
          <cell r="K687" t="str">
            <v>YES</v>
          </cell>
          <cell r="L687" t="str">
            <v>YES</v>
          </cell>
          <cell r="M687" t="str">
            <v>YES</v>
          </cell>
          <cell r="N687" t="str">
            <v>YES</v>
          </cell>
          <cell r="O687" t="str">
            <v>YES</v>
          </cell>
          <cell r="P687" t="str">
            <v>YES</v>
          </cell>
          <cell r="Q687" t="str">
            <v>YES</v>
          </cell>
          <cell r="R687" t="str">
            <v>YES</v>
          </cell>
          <cell r="S687"/>
          <cell r="T687"/>
          <cell r="U687"/>
          <cell r="V687"/>
          <cell r="W687"/>
          <cell r="X687"/>
          <cell r="Y687" t="str">
            <v>Live</v>
          </cell>
          <cell r="Z687" t="str">
            <v>Orange Hub</v>
          </cell>
        </row>
        <row r="688">
          <cell r="F688" t="str">
            <v>BDIVG</v>
          </cell>
          <cell r="G688" t="str">
            <v>BDIK5</v>
          </cell>
          <cell r="H688" t="str">
            <v>642</v>
          </cell>
          <cell r="I688" t="str">
            <v>08</v>
          </cell>
          <cell r="J688" t="str">
            <v>x</v>
          </cell>
          <cell r="K688"/>
          <cell r="L688" t="str">
            <v>YES</v>
          </cell>
          <cell r="M688"/>
          <cell r="N688" t="str">
            <v>YES</v>
          </cell>
          <cell r="O688"/>
          <cell r="P688" t="str">
            <v>YES</v>
          </cell>
          <cell r="Q688"/>
          <cell r="R688" t="str">
            <v>YES</v>
          </cell>
          <cell r="S688" t="str">
            <v>N.A</v>
          </cell>
          <cell r="T688"/>
          <cell r="U688"/>
          <cell r="V688"/>
          <cell r="W688"/>
          <cell r="X688"/>
          <cell r="Y688" t="str">
            <v>Live</v>
          </cell>
          <cell r="Z688" t="str">
            <v>Comfone</v>
          </cell>
        </row>
        <row r="689">
          <cell r="F689" t="str">
            <v>TLSVG</v>
          </cell>
          <cell r="G689" t="str">
            <v>TLSK8</v>
          </cell>
          <cell r="H689" t="str">
            <v>514</v>
          </cell>
          <cell r="I689" t="str">
            <v>03</v>
          </cell>
          <cell r="J689" t="str">
            <v>x</v>
          </cell>
          <cell r="K689"/>
          <cell r="L689" t="str">
            <v>YES</v>
          </cell>
          <cell r="M689"/>
          <cell r="N689" t="str">
            <v>YES</v>
          </cell>
          <cell r="O689"/>
          <cell r="P689" t="str">
            <v>YES</v>
          </cell>
          <cell r="Q689"/>
          <cell r="R689" t="str">
            <v>YES</v>
          </cell>
          <cell r="S689" t="str">
            <v>N.A</v>
          </cell>
          <cell r="T689"/>
          <cell r="U689"/>
          <cell r="V689"/>
          <cell r="W689"/>
          <cell r="X689"/>
          <cell r="Y689" t="str">
            <v>Live</v>
          </cell>
          <cell r="Z689" t="str">
            <v>Comfone</v>
          </cell>
        </row>
        <row r="690">
          <cell r="F690" t="str">
            <v>USAIN</v>
          </cell>
          <cell r="G690" t="str">
            <v>USAK0</v>
          </cell>
          <cell r="H690" t="str">
            <v>311</v>
          </cell>
          <cell r="I690" t="str">
            <v>030</v>
          </cell>
          <cell r="J690" t="str">
            <v>x</v>
          </cell>
          <cell r="K690" t="str">
            <v>YES</v>
          </cell>
          <cell r="L690" t="str">
            <v>YES</v>
          </cell>
          <cell r="M690"/>
          <cell r="N690" t="str">
            <v>YES</v>
          </cell>
          <cell r="O690" t="str">
            <v>YES</v>
          </cell>
          <cell r="P690" t="str">
            <v>YES</v>
          </cell>
          <cell r="Q690" t="str">
            <v>YES</v>
          </cell>
          <cell r="R690" t="str">
            <v>YES</v>
          </cell>
          <cell r="S690" t="str">
            <v>YES</v>
          </cell>
          <cell r="T690" t="str">
            <v>YES</v>
          </cell>
          <cell r="U690"/>
          <cell r="V690"/>
          <cell r="W690"/>
          <cell r="X690"/>
          <cell r="Y690" t="str">
            <v>Live</v>
          </cell>
          <cell r="Z690" t="str">
            <v>Comfone</v>
          </cell>
        </row>
        <row r="691">
          <cell r="F691" t="str">
            <v>BEN07</v>
          </cell>
          <cell r="G691" t="str">
            <v>BENIC</v>
          </cell>
          <cell r="H691" t="str">
            <v>616</v>
          </cell>
          <cell r="I691" t="str">
            <v>07</v>
          </cell>
          <cell r="J691" t="str">
            <v>x</v>
          </cell>
          <cell r="K691" t="str">
            <v>YES</v>
          </cell>
          <cell r="L691" t="str">
            <v>YES</v>
          </cell>
          <cell r="M691" t="str">
            <v>YES</v>
          </cell>
          <cell r="N691" t="str">
            <v>YES</v>
          </cell>
          <cell r="O691" t="str">
            <v>YES</v>
          </cell>
          <cell r="P691" t="str">
            <v>YES</v>
          </cell>
          <cell r="Q691" t="str">
            <v>YES</v>
          </cell>
          <cell r="R691" t="str">
            <v>YES</v>
          </cell>
          <cell r="S691" t="str">
            <v>YES</v>
          </cell>
          <cell r="T691" t="str">
            <v>YES</v>
          </cell>
          <cell r="U691"/>
          <cell r="V691"/>
          <cell r="W691"/>
          <cell r="X691"/>
          <cell r="Y691" t="str">
            <v>Live</v>
          </cell>
          <cell r="Z691" t="str">
            <v>Orange Hub</v>
          </cell>
        </row>
        <row r="692">
          <cell r="F692" t="str">
            <v>MYSBC</v>
          </cell>
          <cell r="G692"/>
          <cell r="H692" t="str">
            <v>502</v>
          </cell>
          <cell r="I692" t="str">
            <v>12</v>
          </cell>
          <cell r="J692" t="str">
            <v>x</v>
          </cell>
          <cell r="K692" t="str">
            <v>YES</v>
          </cell>
          <cell r="L692" t="str">
            <v>YES</v>
          </cell>
          <cell r="M692" t="str">
            <v>YES</v>
          </cell>
          <cell r="N692" t="str">
            <v>YES</v>
          </cell>
          <cell r="O692" t="str">
            <v>YES</v>
          </cell>
          <cell r="P692" t="str">
            <v>Arrêté</v>
          </cell>
          <cell r="Q692" t="str">
            <v>YES</v>
          </cell>
          <cell r="R692" t="str">
            <v>Arrêté</v>
          </cell>
          <cell r="S692" t="str">
            <v>YES</v>
          </cell>
          <cell r="T692" t="str">
            <v>YES</v>
          </cell>
          <cell r="U692"/>
          <cell r="V692"/>
          <cell r="W692"/>
          <cell r="X692"/>
          <cell r="Y692" t="str">
            <v>Live</v>
          </cell>
          <cell r="Z692" t="str">
            <v>Bilateral</v>
          </cell>
        </row>
        <row r="693">
          <cell r="F693" t="str">
            <v>UGACE</v>
          </cell>
          <cell r="G693" t="str">
            <v xml:space="preserve">UGAWL </v>
          </cell>
          <cell r="H693" t="str">
            <v>641</v>
          </cell>
          <cell r="I693" t="str">
            <v>01</v>
          </cell>
          <cell r="J693" t="str">
            <v>x</v>
          </cell>
          <cell r="K693" t="str">
            <v>YES</v>
          </cell>
          <cell r="L693" t="str">
            <v>YES</v>
          </cell>
          <cell r="M693"/>
          <cell r="N693"/>
          <cell r="O693" t="str">
            <v>Planned</v>
          </cell>
          <cell r="P693" t="str">
            <v>YES</v>
          </cell>
          <cell r="Q693" t="str">
            <v>Planned</v>
          </cell>
          <cell r="R693" t="str">
            <v>YES</v>
          </cell>
          <cell r="S693"/>
          <cell r="T693"/>
          <cell r="U693"/>
          <cell r="V693"/>
          <cell r="W693"/>
          <cell r="X693"/>
          <cell r="Y693" t="str">
            <v>Live</v>
          </cell>
          <cell r="Z693" t="str">
            <v>Orange Hub</v>
          </cell>
        </row>
        <row r="694">
          <cell r="F694" t="str">
            <v>AZEAF</v>
          </cell>
          <cell r="G694"/>
          <cell r="H694" t="str">
            <v>400</v>
          </cell>
          <cell r="I694" t="str">
            <v>04</v>
          </cell>
          <cell r="J694" t="str">
            <v>x</v>
          </cell>
          <cell r="K694" t="str">
            <v>YES</v>
          </cell>
          <cell r="L694"/>
          <cell r="M694" t="str">
            <v>YES</v>
          </cell>
          <cell r="N694"/>
          <cell r="O694" t="str">
            <v>YES</v>
          </cell>
          <cell r="P694"/>
          <cell r="Q694" t="str">
            <v>YES</v>
          </cell>
          <cell r="R694"/>
          <cell r="S694" t="str">
            <v>YES</v>
          </cell>
          <cell r="T694"/>
          <cell r="U694"/>
          <cell r="V694"/>
          <cell r="W694"/>
          <cell r="X694"/>
          <cell r="Y694" t="str">
            <v>Live</v>
          </cell>
          <cell r="Z694" t="str">
            <v>Bilateral</v>
          </cell>
        </row>
        <row r="695">
          <cell r="F695" t="str">
            <v>GBRAJ</v>
          </cell>
          <cell r="G695"/>
          <cell r="H695" t="str">
            <v>234</v>
          </cell>
          <cell r="I695" t="str">
            <v>03</v>
          </cell>
          <cell r="J695"/>
          <cell r="K695" t="str">
            <v>YES</v>
          </cell>
          <cell r="L695" t="str">
            <v>Planned</v>
          </cell>
          <cell r="M695" t="str">
            <v>YES</v>
          </cell>
          <cell r="N695" t="str">
            <v>N.A</v>
          </cell>
          <cell r="O695" t="str">
            <v>YES</v>
          </cell>
          <cell r="P695" t="str">
            <v>Planned</v>
          </cell>
          <cell r="Q695" t="str">
            <v>YES</v>
          </cell>
          <cell r="R695" t="str">
            <v>Planned</v>
          </cell>
          <cell r="S695" t="str">
            <v>YES</v>
          </cell>
          <cell r="T695" t="str">
            <v>N.A</v>
          </cell>
          <cell r="U695"/>
          <cell r="V695"/>
          <cell r="W695"/>
          <cell r="X695"/>
          <cell r="Y695" t="str">
            <v>Live</v>
          </cell>
          <cell r="Z695" t="str">
            <v>Bilateral</v>
          </cell>
        </row>
        <row r="696">
          <cell r="F696" t="str">
            <v>AAZAN</v>
          </cell>
          <cell r="G696"/>
          <cell r="H696">
            <v>901</v>
          </cell>
          <cell r="I696">
            <v>81</v>
          </cell>
          <cell r="J696" t="str">
            <v>x</v>
          </cell>
          <cell r="K696" t="str">
            <v>YES</v>
          </cell>
          <cell r="L696" t="str">
            <v>N.A</v>
          </cell>
          <cell r="M696" t="str">
            <v>N.A</v>
          </cell>
          <cell r="N696" t="str">
            <v>N.A</v>
          </cell>
          <cell r="O696" t="str">
            <v>YES</v>
          </cell>
          <cell r="P696" t="str">
            <v>N.A</v>
          </cell>
          <cell r="Q696" t="str">
            <v>YES</v>
          </cell>
          <cell r="R696" t="str">
            <v>N.A</v>
          </cell>
          <cell r="S696" t="str">
            <v>YES</v>
          </cell>
          <cell r="T696" t="str">
            <v>N.A</v>
          </cell>
          <cell r="U696"/>
          <cell r="V696"/>
          <cell r="W696"/>
          <cell r="X696"/>
          <cell r="Y696" t="str">
            <v>Live</v>
          </cell>
          <cell r="Z696" t="str">
            <v>Bilateral</v>
          </cell>
        </row>
        <row r="697">
          <cell r="F697" t="str">
            <v>KWTVM</v>
          </cell>
          <cell r="G697"/>
          <cell r="H697">
            <v>419</v>
          </cell>
          <cell r="I697" t="str">
            <v>01</v>
          </cell>
          <cell r="J697"/>
          <cell r="K697" t="str">
            <v>N.A</v>
          </cell>
          <cell r="L697" t="str">
            <v>N.A</v>
          </cell>
          <cell r="M697" t="str">
            <v>YES</v>
          </cell>
          <cell r="N697" t="str">
            <v>N.A</v>
          </cell>
          <cell r="O697" t="str">
            <v>YES</v>
          </cell>
          <cell r="P697" t="str">
            <v>N.A</v>
          </cell>
          <cell r="Q697" t="str">
            <v>YES</v>
          </cell>
          <cell r="R697" t="str">
            <v>N.A</v>
          </cell>
          <cell r="S697" t="str">
            <v>YES</v>
          </cell>
          <cell r="T697" t="str">
            <v>N.A</v>
          </cell>
          <cell r="U697"/>
          <cell r="V697"/>
          <cell r="W697"/>
          <cell r="X697"/>
          <cell r="Y697" t="str">
            <v>Live</v>
          </cell>
          <cell r="Z697" t="str">
            <v>Bilateral</v>
          </cell>
        </row>
        <row r="698">
          <cell r="F698" t="str">
            <v>KHM3A</v>
          </cell>
          <cell r="G698" t="str">
            <v>KHMK1</v>
          </cell>
          <cell r="H698" t="str">
            <v>456</v>
          </cell>
          <cell r="I698">
            <v>11</v>
          </cell>
          <cell r="J698" t="str">
            <v>x</v>
          </cell>
          <cell r="K698" t="str">
            <v>YES</v>
          </cell>
          <cell r="L698" t="str">
            <v>N.A</v>
          </cell>
          <cell r="M698" t="str">
            <v>YES</v>
          </cell>
          <cell r="N698" t="str">
            <v>N.A</v>
          </cell>
          <cell r="O698" t="str">
            <v>YES</v>
          </cell>
          <cell r="P698" t="str">
            <v>N.A</v>
          </cell>
          <cell r="Q698" t="str">
            <v>YES</v>
          </cell>
          <cell r="R698" t="str">
            <v>N.A</v>
          </cell>
          <cell r="S698" t="str">
            <v>YES</v>
          </cell>
          <cell r="T698" t="str">
            <v>N.A</v>
          </cell>
          <cell r="U698"/>
          <cell r="V698"/>
          <cell r="W698"/>
          <cell r="X698"/>
          <cell r="Y698" t="str">
            <v>Live</v>
          </cell>
          <cell r="Z698" t="str">
            <v>Comfone</v>
          </cell>
        </row>
        <row r="699">
          <cell r="F699" t="str">
            <v>MTX02</v>
          </cell>
          <cell r="G699"/>
          <cell r="H699">
            <v>270</v>
          </cell>
          <cell r="I699" t="str">
            <v>02</v>
          </cell>
          <cell r="J699" t="str">
            <v>x</v>
          </cell>
          <cell r="K699" t="str">
            <v>YES</v>
          </cell>
          <cell r="L699" t="str">
            <v>N.A</v>
          </cell>
          <cell r="M699" t="str">
            <v>N.A</v>
          </cell>
          <cell r="N699" t="str">
            <v>N.A</v>
          </cell>
          <cell r="O699" t="str">
            <v>YES</v>
          </cell>
          <cell r="P699" t="str">
            <v>N.A</v>
          </cell>
          <cell r="Q699" t="str">
            <v>YES</v>
          </cell>
          <cell r="R699" t="str">
            <v>N.A</v>
          </cell>
          <cell r="S699" t="str">
            <v>YES</v>
          </cell>
          <cell r="T699" t="str">
            <v>N.A</v>
          </cell>
          <cell r="U699"/>
          <cell r="V699"/>
          <cell r="W699"/>
          <cell r="X699"/>
          <cell r="Y699" t="str">
            <v>Live</v>
          </cell>
          <cell r="Z699" t="str">
            <v>Bilateral</v>
          </cell>
        </row>
        <row r="700">
          <cell r="F700" t="str">
            <v>TJKIT</v>
          </cell>
          <cell r="G700" t="str">
            <v>TJKK9</v>
          </cell>
          <cell r="H700" t="str">
            <v>436</v>
          </cell>
          <cell r="I700" t="str">
            <v>02</v>
          </cell>
          <cell r="J700" t="str">
            <v>x</v>
          </cell>
          <cell r="K700" t="str">
            <v>N.A</v>
          </cell>
          <cell r="L700" t="str">
            <v>YES</v>
          </cell>
          <cell r="M700" t="str">
            <v>N.A</v>
          </cell>
          <cell r="N700" t="str">
            <v>YES</v>
          </cell>
          <cell r="O700" t="str">
            <v>N.A</v>
          </cell>
          <cell r="P700" t="str">
            <v>YES</v>
          </cell>
          <cell r="Q700" t="str">
            <v>N.A</v>
          </cell>
          <cell r="R700" t="str">
            <v>YES</v>
          </cell>
          <cell r="S700" t="str">
            <v>N.A</v>
          </cell>
          <cell r="T700" t="str">
            <v>YES</v>
          </cell>
          <cell r="U700"/>
          <cell r="V700"/>
          <cell r="W700"/>
          <cell r="X700"/>
          <cell r="Y700" t="str">
            <v>Live</v>
          </cell>
          <cell r="Z700" t="str">
            <v>Comfone</v>
          </cell>
        </row>
        <row r="701">
          <cell r="F701" t="str">
            <v>YUGTS</v>
          </cell>
          <cell r="G701"/>
          <cell r="H701">
            <v>220</v>
          </cell>
          <cell r="I701" t="str">
            <v>03</v>
          </cell>
          <cell r="J701" t="str">
            <v>x</v>
          </cell>
          <cell r="K701" t="str">
            <v>YES</v>
          </cell>
          <cell r="L701" t="str">
            <v>YES</v>
          </cell>
          <cell r="M701" t="str">
            <v>YES</v>
          </cell>
          <cell r="N701" t="str">
            <v>YES</v>
          </cell>
          <cell r="O701" t="str">
            <v>YES</v>
          </cell>
          <cell r="P701" t="str">
            <v>YES</v>
          </cell>
          <cell r="Q701" t="str">
            <v>YES</v>
          </cell>
          <cell r="R701" t="str">
            <v>YES</v>
          </cell>
          <cell r="S701" t="str">
            <v>YES</v>
          </cell>
          <cell r="T701" t="str">
            <v>YES</v>
          </cell>
          <cell r="U701"/>
          <cell r="V701"/>
          <cell r="W701"/>
          <cell r="X701"/>
          <cell r="Y701" t="str">
            <v>Live</v>
          </cell>
          <cell r="Z701" t="str">
            <v>Bilateral</v>
          </cell>
        </row>
        <row r="702">
          <cell r="F702" t="str">
            <v>KENKC</v>
          </cell>
          <cell r="G702" t="str">
            <v>KENK7</v>
          </cell>
          <cell r="H702">
            <v>639</v>
          </cell>
          <cell r="I702" t="str">
            <v>03</v>
          </cell>
          <cell r="J702" t="str">
            <v>x</v>
          </cell>
          <cell r="K702" t="str">
            <v>YES</v>
          </cell>
          <cell r="L702" t="str">
            <v>YES</v>
          </cell>
          <cell r="M702" t="str">
            <v>N.A</v>
          </cell>
          <cell r="N702" t="str">
            <v>YES</v>
          </cell>
          <cell r="O702" t="str">
            <v>YES</v>
          </cell>
          <cell r="P702" t="str">
            <v>YES</v>
          </cell>
          <cell r="Q702" t="str">
            <v>YES</v>
          </cell>
          <cell r="R702" t="str">
            <v>YES</v>
          </cell>
          <cell r="S702" t="str">
            <v>YES</v>
          </cell>
          <cell r="T702" t="str">
            <v>YES</v>
          </cell>
          <cell r="U702"/>
          <cell r="V702"/>
          <cell r="W702"/>
          <cell r="X702"/>
          <cell r="Y702" t="str">
            <v>Live</v>
          </cell>
          <cell r="Z702" t="str">
            <v>Comfone</v>
          </cell>
        </row>
        <row r="703">
          <cell r="F703" t="str">
            <v>PRI01</v>
          </cell>
          <cell r="G703"/>
          <cell r="H703">
            <v>313</v>
          </cell>
          <cell r="I703">
            <v>790</v>
          </cell>
          <cell r="J703" t="str">
            <v>x</v>
          </cell>
          <cell r="K703" t="str">
            <v>YES</v>
          </cell>
          <cell r="L703" t="str">
            <v>N.A</v>
          </cell>
          <cell r="M703" t="str">
            <v>YES</v>
          </cell>
          <cell r="N703" t="str">
            <v>N.A</v>
          </cell>
          <cell r="O703" t="str">
            <v>YES</v>
          </cell>
          <cell r="P703" t="str">
            <v>N.A</v>
          </cell>
          <cell r="Q703" t="str">
            <v>YES</v>
          </cell>
          <cell r="R703" t="str">
            <v>N.A</v>
          </cell>
          <cell r="S703" t="str">
            <v>YES</v>
          </cell>
          <cell r="T703" t="str">
            <v>YES</v>
          </cell>
          <cell r="U703"/>
          <cell r="V703"/>
          <cell r="W703"/>
          <cell r="X703"/>
          <cell r="Y703" t="str">
            <v>Live</v>
          </cell>
          <cell r="Z703" t="str">
            <v>Bilateral</v>
          </cell>
        </row>
        <row r="704">
          <cell r="F704" t="str">
            <v>OMNVF</v>
          </cell>
          <cell r="G704" t="str">
            <v>OMNRC</v>
          </cell>
          <cell r="H704">
            <v>422</v>
          </cell>
          <cell r="I704" t="str">
            <v>06</v>
          </cell>
          <cell r="J704"/>
          <cell r="K704" t="str">
            <v>YES</v>
          </cell>
          <cell r="L704" t="str">
            <v>N.A</v>
          </cell>
          <cell r="M704" t="str">
            <v>YES</v>
          </cell>
          <cell r="N704" t="str">
            <v>N.A</v>
          </cell>
          <cell r="O704" t="str">
            <v>YES</v>
          </cell>
          <cell r="P704" t="str">
            <v>N.A</v>
          </cell>
          <cell r="Q704" t="str">
            <v>YES</v>
          </cell>
          <cell r="R704" t="str">
            <v>N.A</v>
          </cell>
          <cell r="S704" t="str">
            <v>YES</v>
          </cell>
          <cell r="T704" t="str">
            <v>N.A</v>
          </cell>
          <cell r="U704"/>
          <cell r="V704"/>
          <cell r="W704"/>
          <cell r="X704"/>
          <cell r="Y704" t="str">
            <v>Live</v>
          </cell>
          <cell r="Z704" t="str">
            <v>Orange Hub</v>
          </cell>
        </row>
        <row r="705">
          <cell r="F705" t="str">
            <v>SLVTM</v>
          </cell>
          <cell r="G705" t="str">
            <v>SLVK8</v>
          </cell>
          <cell r="H705">
            <v>706</v>
          </cell>
          <cell r="I705" t="str">
            <v>03</v>
          </cell>
          <cell r="J705"/>
          <cell r="K705" t="str">
            <v>YES</v>
          </cell>
          <cell r="L705" t="str">
            <v>YES</v>
          </cell>
          <cell r="M705" t="str">
            <v>YES</v>
          </cell>
          <cell r="N705" t="str">
            <v>YES</v>
          </cell>
          <cell r="O705" t="str">
            <v>YES</v>
          </cell>
          <cell r="P705" t="str">
            <v>YES</v>
          </cell>
          <cell r="Q705" t="str">
            <v>YES</v>
          </cell>
          <cell r="R705" t="str">
            <v>YES</v>
          </cell>
          <cell r="S705" t="str">
            <v>YES</v>
          </cell>
          <cell r="T705" t="str">
            <v>YES</v>
          </cell>
          <cell r="U705"/>
          <cell r="V705"/>
          <cell r="W705"/>
          <cell r="X705"/>
          <cell r="Y705" t="str">
            <v>Live</v>
          </cell>
          <cell r="Z705" t="str">
            <v>Comfone</v>
          </cell>
        </row>
        <row r="706">
          <cell r="F706" t="str">
            <v>SAUSM</v>
          </cell>
          <cell r="G706"/>
          <cell r="H706">
            <v>420</v>
          </cell>
          <cell r="I706" t="str">
            <v>09</v>
          </cell>
          <cell r="J706" t="str">
            <v>x</v>
          </cell>
          <cell r="K706" t="str">
            <v>YES</v>
          </cell>
          <cell r="L706" t="str">
            <v>N.A</v>
          </cell>
          <cell r="M706" t="str">
            <v>YES</v>
          </cell>
          <cell r="N706" t="str">
            <v>N.A</v>
          </cell>
          <cell r="O706" t="str">
            <v>YES</v>
          </cell>
          <cell r="P706" t="str">
            <v>N.A</v>
          </cell>
          <cell r="Q706" t="str">
            <v>YES</v>
          </cell>
          <cell r="R706" t="str">
            <v>N.A</v>
          </cell>
          <cell r="S706" t="str">
            <v>YES</v>
          </cell>
          <cell r="T706" t="str">
            <v>N.A</v>
          </cell>
          <cell r="U706"/>
          <cell r="V706"/>
          <cell r="W706"/>
          <cell r="X706"/>
          <cell r="Y706" t="str">
            <v>Live</v>
          </cell>
          <cell r="Z706" t="str">
            <v>Bilateral</v>
          </cell>
        </row>
        <row r="707">
          <cell r="F707" t="str">
            <v>GUMDP</v>
          </cell>
          <cell r="G707" t="str">
            <v>GUMK8</v>
          </cell>
          <cell r="H707">
            <v>310</v>
          </cell>
          <cell r="I707">
            <v>370</v>
          </cell>
          <cell r="J707" t="str">
            <v>x</v>
          </cell>
          <cell r="K707" t="str">
            <v>YES</v>
          </cell>
          <cell r="L707" t="str">
            <v>N.A</v>
          </cell>
          <cell r="M707"/>
          <cell r="N707"/>
          <cell r="O707" t="str">
            <v>YES</v>
          </cell>
          <cell r="P707" t="str">
            <v>N.A</v>
          </cell>
          <cell r="Q707" t="str">
            <v>YES</v>
          </cell>
          <cell r="R707" t="str">
            <v>N.A</v>
          </cell>
          <cell r="S707" t="str">
            <v>N.A</v>
          </cell>
          <cell r="T707" t="str">
            <v>N.A</v>
          </cell>
          <cell r="U707"/>
          <cell r="V707"/>
          <cell r="W707"/>
          <cell r="X707"/>
          <cell r="Y707" t="str">
            <v>Live</v>
          </cell>
          <cell r="Z707" t="str">
            <v>Comfone</v>
          </cell>
        </row>
        <row r="708">
          <cell r="F708" t="str">
            <v>BHRBT</v>
          </cell>
          <cell r="G708" t="str">
            <v>BHRK8</v>
          </cell>
          <cell r="H708">
            <v>426</v>
          </cell>
          <cell r="I708" t="str">
            <v>01</v>
          </cell>
          <cell r="J708" t="str">
            <v>x</v>
          </cell>
          <cell r="K708" t="str">
            <v>YES</v>
          </cell>
          <cell r="L708" t="str">
            <v>YES</v>
          </cell>
          <cell r="M708" t="str">
            <v>YES</v>
          </cell>
          <cell r="N708" t="str">
            <v>YES</v>
          </cell>
          <cell r="O708" t="str">
            <v>YES</v>
          </cell>
          <cell r="P708" t="str">
            <v>YES</v>
          </cell>
          <cell r="Q708" t="str">
            <v>YES</v>
          </cell>
          <cell r="R708" t="str">
            <v>YES</v>
          </cell>
          <cell r="S708" t="str">
            <v>YES</v>
          </cell>
          <cell r="T708" t="str">
            <v>YES</v>
          </cell>
          <cell r="U708"/>
          <cell r="V708"/>
          <cell r="W708"/>
          <cell r="X708"/>
          <cell r="Y708" t="str">
            <v>Live</v>
          </cell>
          <cell r="Z708" t="str">
            <v>Comfone</v>
          </cell>
        </row>
        <row r="709">
          <cell r="F709" t="str">
            <v>PERMO</v>
          </cell>
          <cell r="G709"/>
          <cell r="H709">
            <v>716</v>
          </cell>
          <cell r="I709" t="str">
            <v>06</v>
          </cell>
          <cell r="J709" t="str">
            <v>x</v>
          </cell>
          <cell r="K709" t="str">
            <v>YES</v>
          </cell>
          <cell r="L709" t="str">
            <v>YES</v>
          </cell>
          <cell r="M709"/>
          <cell r="N709"/>
          <cell r="O709" t="str">
            <v>YES</v>
          </cell>
          <cell r="P709" t="str">
            <v>YES</v>
          </cell>
          <cell r="Q709" t="str">
            <v>YES</v>
          </cell>
          <cell r="R709" t="str">
            <v>YES</v>
          </cell>
          <cell r="S709"/>
          <cell r="T709"/>
          <cell r="U709"/>
          <cell r="V709"/>
          <cell r="W709"/>
          <cell r="X709"/>
          <cell r="Y709" t="str">
            <v>Live</v>
          </cell>
          <cell r="Z709" t="str">
            <v>Bilateral</v>
          </cell>
        </row>
        <row r="710">
          <cell r="F710" t="str">
            <v>CHLTM</v>
          </cell>
          <cell r="G710"/>
          <cell r="H710">
            <v>730</v>
          </cell>
          <cell r="I710" t="str">
            <v>02</v>
          </cell>
          <cell r="J710" t="str">
            <v>x</v>
          </cell>
          <cell r="K710" t="str">
            <v>YES</v>
          </cell>
          <cell r="L710" t="str">
            <v>YES</v>
          </cell>
          <cell r="M710" t="str">
            <v>N.A</v>
          </cell>
          <cell r="N710" t="str">
            <v>YES</v>
          </cell>
          <cell r="O710" t="str">
            <v>YES</v>
          </cell>
          <cell r="P710" t="str">
            <v>YES</v>
          </cell>
          <cell r="Q710" t="str">
            <v>YES</v>
          </cell>
          <cell r="R710" t="str">
            <v>YES</v>
          </cell>
          <cell r="S710" t="str">
            <v>YES</v>
          </cell>
          <cell r="T710" t="str">
            <v>YES</v>
          </cell>
          <cell r="U710"/>
          <cell r="V710"/>
          <cell r="W710"/>
          <cell r="X710"/>
          <cell r="Y710" t="str">
            <v>Live</v>
          </cell>
          <cell r="Z710" t="str">
            <v>Bilateral</v>
          </cell>
        </row>
        <row r="711">
          <cell r="F711" t="str">
            <v>LAOTC</v>
          </cell>
          <cell r="G711" t="str">
            <v>LAOFT</v>
          </cell>
          <cell r="H711">
            <v>457</v>
          </cell>
          <cell r="I711" t="str">
            <v>01</v>
          </cell>
          <cell r="J711"/>
          <cell r="K711" t="str">
            <v>YES</v>
          </cell>
          <cell r="L711" t="str">
            <v>Planned</v>
          </cell>
          <cell r="M711"/>
          <cell r="N711"/>
          <cell r="O711" t="str">
            <v>YES</v>
          </cell>
          <cell r="P711" t="str">
            <v>Planned</v>
          </cell>
          <cell r="Q711" t="str">
            <v>YES</v>
          </cell>
          <cell r="R711" t="str">
            <v>Planned</v>
          </cell>
          <cell r="S711" t="str">
            <v>Planned</v>
          </cell>
          <cell r="T711" t="str">
            <v>Planned</v>
          </cell>
          <cell r="U711"/>
          <cell r="V711"/>
          <cell r="W711"/>
          <cell r="X711"/>
          <cell r="Y711" t="str">
            <v>Live</v>
          </cell>
          <cell r="Z711" t="str">
            <v>Orange Hub</v>
          </cell>
        </row>
        <row r="712">
          <cell r="F712" t="str">
            <v>SWZ02</v>
          </cell>
          <cell r="G712"/>
          <cell r="H712">
            <v>653</v>
          </cell>
          <cell r="I712" t="str">
            <v>02</v>
          </cell>
          <cell r="J712"/>
          <cell r="K712" t="str">
            <v>YES</v>
          </cell>
          <cell r="L712" t="str">
            <v>Planned</v>
          </cell>
          <cell r="M712"/>
          <cell r="N712" t="str">
            <v>Planned</v>
          </cell>
          <cell r="O712" t="str">
            <v>YES</v>
          </cell>
          <cell r="P712" t="str">
            <v>Planned</v>
          </cell>
          <cell r="Q712" t="str">
            <v>YES</v>
          </cell>
          <cell r="R712" t="str">
            <v>Planned</v>
          </cell>
          <cell r="S712" t="str">
            <v>YES</v>
          </cell>
          <cell r="T712" t="str">
            <v>Planned</v>
          </cell>
          <cell r="U712"/>
          <cell r="V712"/>
          <cell r="W712"/>
          <cell r="X712"/>
          <cell r="Y712" t="str">
            <v>Live</v>
          </cell>
          <cell r="Z712" t="str">
            <v>Bilateral</v>
          </cell>
        </row>
        <row r="713">
          <cell r="F713" t="str">
            <v>AUSTA</v>
          </cell>
          <cell r="G713"/>
          <cell r="H713">
            <v>505</v>
          </cell>
          <cell r="I713" t="str">
            <v>01</v>
          </cell>
          <cell r="J713"/>
          <cell r="K713"/>
          <cell r="L713" t="str">
            <v>Planned</v>
          </cell>
          <cell r="M713"/>
          <cell r="N713" t="str">
            <v>Planned</v>
          </cell>
          <cell r="O713"/>
          <cell r="P713" t="str">
            <v>Planned</v>
          </cell>
          <cell r="Q713"/>
          <cell r="R713" t="str">
            <v>Planned</v>
          </cell>
          <cell r="S713"/>
          <cell r="T713" t="str">
            <v>Planned</v>
          </cell>
          <cell r="U713"/>
          <cell r="V713"/>
          <cell r="W713"/>
          <cell r="X713"/>
          <cell r="Y713" t="str">
            <v>Planned</v>
          </cell>
          <cell r="Z713" t="str">
            <v>Bilateral</v>
          </cell>
        </row>
        <row r="714">
          <cell r="F714" t="str">
            <v>SAU10</v>
          </cell>
          <cell r="G714"/>
          <cell r="H714">
            <v>420</v>
          </cell>
          <cell r="I714">
            <v>10</v>
          </cell>
          <cell r="J714"/>
          <cell r="K714" t="str">
            <v>YES</v>
          </cell>
          <cell r="L714"/>
          <cell r="M714" t="str">
            <v>YES</v>
          </cell>
          <cell r="N714"/>
          <cell r="O714" t="str">
            <v>YES</v>
          </cell>
          <cell r="P714"/>
          <cell r="Q714" t="str">
            <v>YES</v>
          </cell>
          <cell r="R714"/>
          <cell r="S714" t="str">
            <v>YES</v>
          </cell>
          <cell r="T714"/>
          <cell r="U714"/>
          <cell r="V714"/>
          <cell r="W714"/>
          <cell r="X714"/>
          <cell r="Y714" t="str">
            <v>Live</v>
          </cell>
          <cell r="Z714" t="str">
            <v>Bilateral</v>
          </cell>
        </row>
        <row r="715">
          <cell r="F715" t="str">
            <v>CANEL</v>
          </cell>
          <cell r="G715" t="str">
            <v>CANK7</v>
          </cell>
          <cell r="H715">
            <v>302</v>
          </cell>
          <cell r="I715">
            <v>270</v>
          </cell>
          <cell r="J715" t="str">
            <v>x</v>
          </cell>
          <cell r="K715" t="str">
            <v>YES</v>
          </cell>
          <cell r="L715"/>
          <cell r="M715" t="str">
            <v>YES</v>
          </cell>
          <cell r="N715"/>
          <cell r="O715" t="str">
            <v>YES</v>
          </cell>
          <cell r="P715"/>
          <cell r="Q715" t="str">
            <v>YES</v>
          </cell>
          <cell r="R715"/>
          <cell r="S715" t="str">
            <v>YES</v>
          </cell>
          <cell r="T715"/>
          <cell r="U715"/>
          <cell r="V715"/>
          <cell r="W715"/>
          <cell r="X715"/>
          <cell r="Y715" t="str">
            <v>Live</v>
          </cell>
          <cell r="Z715" t="str">
            <v>Comfone</v>
          </cell>
        </row>
        <row r="716">
          <cell r="F716" t="str">
            <v>GBRLI</v>
          </cell>
          <cell r="G716" t="str">
            <v>GBRWL</v>
          </cell>
          <cell r="H716">
            <v>234</v>
          </cell>
          <cell r="I716">
            <v>53</v>
          </cell>
          <cell r="J716" t="str">
            <v>x</v>
          </cell>
          <cell r="K716" t="str">
            <v>YES</v>
          </cell>
          <cell r="L716"/>
          <cell r="M716"/>
          <cell r="N716"/>
          <cell r="O716" t="str">
            <v>YES</v>
          </cell>
          <cell r="P716"/>
          <cell r="Q716" t="str">
            <v>YES</v>
          </cell>
          <cell r="R716"/>
          <cell r="S716" t="str">
            <v>YES</v>
          </cell>
          <cell r="T716"/>
          <cell r="U716"/>
          <cell r="V716"/>
          <cell r="W716"/>
          <cell r="X716"/>
          <cell r="Y716" t="str">
            <v>Live</v>
          </cell>
          <cell r="Z716" t="str">
            <v>Orange Hub</v>
          </cell>
        </row>
        <row r="717">
          <cell r="F717" t="str">
            <v>AGOAC</v>
          </cell>
          <cell r="G717" t="str">
            <v>AGOK8</v>
          </cell>
          <cell r="H717">
            <v>631</v>
          </cell>
          <cell r="I717" t="str">
            <v>05</v>
          </cell>
          <cell r="J717" t="str">
            <v>x</v>
          </cell>
          <cell r="K717" t="str">
            <v>YES</v>
          </cell>
          <cell r="L717" t="str">
            <v>YES</v>
          </cell>
          <cell r="M717" t="str">
            <v>YES</v>
          </cell>
          <cell r="N717" t="str">
            <v>YES</v>
          </cell>
          <cell r="O717" t="str">
            <v>YES</v>
          </cell>
          <cell r="P717" t="str">
            <v>YES</v>
          </cell>
          <cell r="Q717" t="str">
            <v>YES</v>
          </cell>
          <cell r="R717" t="str">
            <v>YES</v>
          </cell>
          <cell r="S717" t="str">
            <v>YES</v>
          </cell>
          <cell r="T717" t="str">
            <v>YES</v>
          </cell>
          <cell r="U717"/>
          <cell r="V717"/>
          <cell r="W717"/>
          <cell r="X717"/>
          <cell r="Y717" t="str">
            <v>Live</v>
          </cell>
          <cell r="Z717" t="str">
            <v>Comfone</v>
          </cell>
        </row>
        <row r="718">
          <cell r="F718" t="str">
            <v>BRAPS</v>
          </cell>
          <cell r="G718"/>
          <cell r="H718" t="str">
            <v>724</v>
          </cell>
          <cell r="I718">
            <v>54</v>
          </cell>
          <cell r="J718"/>
          <cell r="K718" t="str">
            <v>YES</v>
          </cell>
          <cell r="L718" t="str">
            <v>N.A</v>
          </cell>
          <cell r="M718" t="str">
            <v>YES</v>
          </cell>
          <cell r="N718" t="str">
            <v>N.A</v>
          </cell>
          <cell r="O718" t="str">
            <v>YES</v>
          </cell>
          <cell r="P718" t="str">
            <v>N.A</v>
          </cell>
          <cell r="Q718" t="str">
            <v>YES</v>
          </cell>
          <cell r="R718" t="str">
            <v>N.A</v>
          </cell>
          <cell r="S718" t="str">
            <v>YES</v>
          </cell>
          <cell r="T718" t="str">
            <v>N.A</v>
          </cell>
          <cell r="U718"/>
          <cell r="V718"/>
          <cell r="W718"/>
          <cell r="X718"/>
          <cell r="Y718" t="str">
            <v>Live</v>
          </cell>
          <cell r="Z718" t="str">
            <v>Bilateral</v>
          </cell>
        </row>
        <row r="719">
          <cell r="F719" t="str">
            <v>ETH02</v>
          </cell>
          <cell r="G719"/>
          <cell r="H719">
            <v>636</v>
          </cell>
          <cell r="I719" t="str">
            <v>02</v>
          </cell>
          <cell r="J719" t="str">
            <v>x</v>
          </cell>
          <cell r="K719" t="str">
            <v>Planned</v>
          </cell>
          <cell r="L719" t="str">
            <v>YES</v>
          </cell>
          <cell r="M719"/>
          <cell r="N719" t="str">
            <v>YES</v>
          </cell>
          <cell r="O719" t="str">
            <v>Planned</v>
          </cell>
          <cell r="P719" t="str">
            <v>YES</v>
          </cell>
          <cell r="Q719" t="str">
            <v>Planned</v>
          </cell>
          <cell r="R719" t="str">
            <v>YES</v>
          </cell>
          <cell r="S719" t="str">
            <v>Planned</v>
          </cell>
          <cell r="T719" t="str">
            <v>Planned</v>
          </cell>
          <cell r="U719"/>
          <cell r="V719"/>
          <cell r="W719"/>
          <cell r="X719"/>
          <cell r="Y719" t="str">
            <v>Live</v>
          </cell>
          <cell r="Z719" t="str">
            <v>Bilateral</v>
          </cell>
        </row>
        <row r="720">
          <cell r="F720" t="str">
            <v>BGDGP</v>
          </cell>
          <cell r="G720"/>
          <cell r="H720">
            <v>470</v>
          </cell>
          <cell r="I720" t="str">
            <v>01</v>
          </cell>
          <cell r="J720" t="str">
            <v>x</v>
          </cell>
          <cell r="K720" t="str">
            <v>YES</v>
          </cell>
          <cell r="L720" t="str">
            <v>YES</v>
          </cell>
          <cell r="M720" t="str">
            <v>YES</v>
          </cell>
          <cell r="N720" t="str">
            <v>YES</v>
          </cell>
          <cell r="O720" t="str">
            <v>YES</v>
          </cell>
          <cell r="P720" t="str">
            <v>YES</v>
          </cell>
          <cell r="Q720" t="str">
            <v>YES</v>
          </cell>
          <cell r="R720" t="str">
            <v>YES</v>
          </cell>
          <cell r="S720" t="str">
            <v>YES</v>
          </cell>
          <cell r="T720" t="str">
            <v>YES</v>
          </cell>
          <cell r="U720"/>
          <cell r="V720"/>
          <cell r="W720"/>
          <cell r="X720"/>
          <cell r="Y720" t="str">
            <v>Live</v>
          </cell>
          <cell r="Z720" t="str">
            <v>Bilateral</v>
          </cell>
        </row>
        <row r="721">
          <cell r="F721" t="str">
            <v>CIVTL</v>
          </cell>
          <cell r="G721" t="str">
            <v>CIVWL</v>
          </cell>
          <cell r="H721">
            <v>612</v>
          </cell>
          <cell r="I721" t="str">
            <v>05</v>
          </cell>
          <cell r="J721" t="str">
            <v>x</v>
          </cell>
          <cell r="K721" t="str">
            <v>YES</v>
          </cell>
          <cell r="L721" t="str">
            <v>YES</v>
          </cell>
          <cell r="M721"/>
          <cell r="N721"/>
          <cell r="O721" t="str">
            <v>YES</v>
          </cell>
          <cell r="P721" t="str">
            <v>YES</v>
          </cell>
          <cell r="Q721" t="str">
            <v>YES</v>
          </cell>
          <cell r="R721" t="str">
            <v>YES</v>
          </cell>
          <cell r="S721"/>
          <cell r="T721"/>
          <cell r="U721"/>
          <cell r="V721"/>
          <cell r="W721"/>
          <cell r="X721"/>
          <cell r="Y721" t="str">
            <v>Live</v>
          </cell>
          <cell r="Z721" t="str">
            <v>Orange Hub</v>
          </cell>
        </row>
        <row r="722">
          <cell r="F722" t="str">
            <v>PNGTM</v>
          </cell>
          <cell r="G722" t="str">
            <v>PNGK7</v>
          </cell>
          <cell r="H722" t="str">
            <v>537</v>
          </cell>
          <cell r="I722" t="str">
            <v>02</v>
          </cell>
          <cell r="J722" t="str">
            <v>x</v>
          </cell>
          <cell r="K722" t="str">
            <v>YES</v>
          </cell>
          <cell r="L722" t="str">
            <v>YES</v>
          </cell>
          <cell r="M722" t="str">
            <v>NO</v>
          </cell>
          <cell r="N722" t="str">
            <v>YES</v>
          </cell>
          <cell r="O722" t="str">
            <v>YES</v>
          </cell>
          <cell r="P722" t="str">
            <v>YES</v>
          </cell>
          <cell r="Q722" t="str">
            <v>YES</v>
          </cell>
          <cell r="R722" t="str">
            <v>YES</v>
          </cell>
          <cell r="S722" t="str">
            <v>YES</v>
          </cell>
          <cell r="T722" t="str">
            <v>YES</v>
          </cell>
          <cell r="U722"/>
          <cell r="V722"/>
          <cell r="W722"/>
          <cell r="X722"/>
          <cell r="Y722" t="str">
            <v>Live</v>
          </cell>
          <cell r="Z722" t="str">
            <v>Comfone</v>
          </cell>
        </row>
        <row r="723">
          <cell r="F723" t="str">
            <v>SGPST</v>
          </cell>
          <cell r="G723" t="str">
            <v>SGPK7</v>
          </cell>
          <cell r="H723">
            <v>525</v>
          </cell>
          <cell r="I723" t="str">
            <v>01</v>
          </cell>
          <cell r="J723" t="str">
            <v>x</v>
          </cell>
          <cell r="K723" t="str">
            <v>YES</v>
          </cell>
          <cell r="L723" t="str">
            <v>N.A</v>
          </cell>
          <cell r="M723"/>
          <cell r="N723" t="str">
            <v>N.A</v>
          </cell>
          <cell r="O723" t="str">
            <v>YES</v>
          </cell>
          <cell r="P723" t="str">
            <v>N.A</v>
          </cell>
          <cell r="Q723" t="str">
            <v>YES</v>
          </cell>
          <cell r="R723" t="str">
            <v>N.A</v>
          </cell>
          <cell r="S723"/>
          <cell r="T723" t="str">
            <v>N.A</v>
          </cell>
          <cell r="U723"/>
          <cell r="V723"/>
          <cell r="W723"/>
          <cell r="X723"/>
          <cell r="Y723" t="str">
            <v>Live</v>
          </cell>
          <cell r="Z723" t="str">
            <v>Comfone</v>
          </cell>
        </row>
        <row r="724">
          <cell r="F724" t="str">
            <v>CHEM1</v>
          </cell>
          <cell r="G724" t="str">
            <v>CHEL9</v>
          </cell>
          <cell r="H724">
            <v>228</v>
          </cell>
          <cell r="I724">
            <v>69</v>
          </cell>
          <cell r="J724" t="str">
            <v>x</v>
          </cell>
          <cell r="K724" t="str">
            <v>YES</v>
          </cell>
          <cell r="L724" t="str">
            <v>N.A</v>
          </cell>
          <cell r="M724" t="str">
            <v>YES</v>
          </cell>
          <cell r="N724" t="str">
            <v>N.A</v>
          </cell>
          <cell r="O724" t="str">
            <v>YES</v>
          </cell>
          <cell r="P724" t="str">
            <v>N.A</v>
          </cell>
          <cell r="Q724" t="str">
            <v>YES</v>
          </cell>
          <cell r="R724" t="str">
            <v>N.A</v>
          </cell>
          <cell r="S724" t="str">
            <v>YES</v>
          </cell>
          <cell r="T724" t="str">
            <v>N.A</v>
          </cell>
          <cell r="U724"/>
          <cell r="V724"/>
          <cell r="W724"/>
          <cell r="X724"/>
          <cell r="Y724" t="str">
            <v>Live</v>
          </cell>
          <cell r="Z724" t="str">
            <v>Comfone</v>
          </cell>
        </row>
        <row r="725">
          <cell r="F725" t="str">
            <v>MYSCC</v>
          </cell>
          <cell r="G725" t="str">
            <v>MYSK9</v>
          </cell>
          <cell r="H725">
            <v>502</v>
          </cell>
          <cell r="I725">
            <v>19</v>
          </cell>
          <cell r="J725" t="str">
            <v>x</v>
          </cell>
          <cell r="K725" t="str">
            <v>YES</v>
          </cell>
          <cell r="L725" t="str">
            <v>YES</v>
          </cell>
          <cell r="M725" t="str">
            <v>N.A</v>
          </cell>
          <cell r="N725"/>
          <cell r="O725" t="str">
            <v>YES</v>
          </cell>
          <cell r="P725" t="str">
            <v>YES</v>
          </cell>
          <cell r="Q725" t="str">
            <v>YES</v>
          </cell>
          <cell r="R725" t="str">
            <v>YES</v>
          </cell>
          <cell r="S725" t="str">
            <v>YES</v>
          </cell>
          <cell r="T725" t="str">
            <v>YES</v>
          </cell>
          <cell r="U725"/>
          <cell r="V725"/>
          <cell r="W725"/>
          <cell r="X725"/>
          <cell r="Y725" t="str">
            <v>Planned</v>
          </cell>
          <cell r="Z725" t="str">
            <v>Comfone</v>
          </cell>
        </row>
        <row r="726">
          <cell r="F726" t="str">
            <v>PRTDI</v>
          </cell>
          <cell r="G726"/>
          <cell r="H726">
            <v>268</v>
          </cell>
          <cell r="I726" t="str">
            <v>02</v>
          </cell>
          <cell r="J726"/>
          <cell r="K726" t="str">
            <v>Planned</v>
          </cell>
          <cell r="L726"/>
          <cell r="M726"/>
          <cell r="N726"/>
          <cell r="O726" t="str">
            <v>Planned</v>
          </cell>
          <cell r="P726"/>
          <cell r="Q726" t="str">
            <v>Planned</v>
          </cell>
          <cell r="R726"/>
          <cell r="S726" t="str">
            <v>Planned</v>
          </cell>
          <cell r="T726"/>
          <cell r="U726"/>
          <cell r="V726"/>
          <cell r="W726"/>
          <cell r="X726"/>
          <cell r="Y726" t="str">
            <v>Planned</v>
          </cell>
          <cell r="Z726" t="str">
            <v>Bilateral</v>
          </cell>
        </row>
        <row r="727">
          <cell r="F727" t="str">
            <v>BELDI</v>
          </cell>
          <cell r="G727"/>
          <cell r="H727">
            <v>206</v>
          </cell>
          <cell r="I727">
            <v>12</v>
          </cell>
          <cell r="J727"/>
          <cell r="K727" t="str">
            <v>Planned</v>
          </cell>
          <cell r="L727"/>
          <cell r="M727"/>
          <cell r="N727"/>
          <cell r="O727" t="str">
            <v>Planned</v>
          </cell>
          <cell r="P727"/>
          <cell r="Q727" t="str">
            <v>Planned</v>
          </cell>
          <cell r="R727"/>
          <cell r="S727" t="str">
            <v>Planned</v>
          </cell>
          <cell r="T727"/>
          <cell r="U727"/>
          <cell r="V727"/>
          <cell r="W727"/>
          <cell r="X727"/>
          <cell r="Y727" t="str">
            <v>Planned</v>
          </cell>
          <cell r="Z727" t="str">
            <v>Bilateral</v>
          </cell>
        </row>
        <row r="728">
          <cell r="F728" t="str">
            <v>ZMBCZ</v>
          </cell>
          <cell r="G728"/>
          <cell r="H728" t="str">
            <v>645</v>
          </cell>
          <cell r="I728" t="str">
            <v>03</v>
          </cell>
          <cell r="J728" t="str">
            <v>x</v>
          </cell>
          <cell r="K728" t="str">
            <v>YES</v>
          </cell>
          <cell r="L728" t="str">
            <v>YES</v>
          </cell>
          <cell r="M728" t="str">
            <v>YES</v>
          </cell>
          <cell r="N728" t="str">
            <v>YES</v>
          </cell>
          <cell r="O728" t="str">
            <v>YES</v>
          </cell>
          <cell r="P728" t="str">
            <v>Planned</v>
          </cell>
          <cell r="Q728" t="str">
            <v>YES</v>
          </cell>
          <cell r="R728" t="str">
            <v>Planned</v>
          </cell>
          <cell r="S728" t="str">
            <v>YES</v>
          </cell>
          <cell r="T728" t="str">
            <v>Planned</v>
          </cell>
          <cell r="U728"/>
          <cell r="V728"/>
          <cell r="W728"/>
          <cell r="X728"/>
          <cell r="Y728" t="str">
            <v>Live</v>
          </cell>
          <cell r="Z728" t="str">
            <v>Bilateral</v>
          </cell>
        </row>
        <row r="729">
          <cell r="F729" t="str">
            <v>TZAZN</v>
          </cell>
          <cell r="G729" t="str">
            <v>TZAFT</v>
          </cell>
          <cell r="H729" t="str">
            <v>640</v>
          </cell>
          <cell r="I729" t="str">
            <v>03</v>
          </cell>
          <cell r="J729" t="str">
            <v>x</v>
          </cell>
          <cell r="K729" t="str">
            <v>YES</v>
          </cell>
          <cell r="L729" t="str">
            <v>YES</v>
          </cell>
          <cell r="M729" t="str">
            <v>YES</v>
          </cell>
          <cell r="N729" t="str">
            <v>YES</v>
          </cell>
          <cell r="O729" t="str">
            <v>YES</v>
          </cell>
          <cell r="P729" t="str">
            <v>YES</v>
          </cell>
          <cell r="Q729" t="str">
            <v>YES</v>
          </cell>
          <cell r="R729" t="str">
            <v>YES</v>
          </cell>
          <cell r="S729"/>
          <cell r="T729"/>
          <cell r="U729"/>
          <cell r="V729"/>
          <cell r="W729"/>
          <cell r="X729"/>
          <cell r="Y729" t="str">
            <v>Live</v>
          </cell>
          <cell r="Z729" t="str">
            <v>Orange Hub</v>
          </cell>
        </row>
      </sheetData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7"/>
  <sheetViews>
    <sheetView tabSelected="1" topLeftCell="A143" zoomScale="85" zoomScaleNormal="85" workbookViewId="0">
      <selection activeCell="C165" sqref="A1:J325"/>
    </sheetView>
  </sheetViews>
  <sheetFormatPr baseColWidth="10" defaultRowHeight="15" x14ac:dyDescent="0.25"/>
  <cols>
    <col min="1" max="1" width="15.7109375" style="132" customWidth="1"/>
    <col min="2" max="2" width="13.85546875" style="116" customWidth="1"/>
    <col min="3" max="3" width="53" style="117" customWidth="1"/>
    <col min="4" max="4" width="15" style="129" customWidth="1"/>
    <col min="5" max="6" width="6.28515625" style="11" customWidth="1"/>
    <col min="7" max="7" width="13.42578125" style="20" customWidth="1"/>
    <col min="8" max="10" width="10.7109375" style="20" customWidth="1"/>
    <col min="11" max="16384" width="11.42578125" style="115"/>
  </cols>
  <sheetData>
    <row r="1" spans="1:10" customFormat="1" ht="15.75" thickBot="1" x14ac:dyDescent="0.3">
      <c r="A1" s="218" t="s">
        <v>746</v>
      </c>
      <c r="B1" s="218"/>
      <c r="C1" s="218"/>
      <c r="D1" s="129"/>
      <c r="E1" s="11"/>
      <c r="F1" s="11"/>
      <c r="G1" s="20"/>
      <c r="H1" s="20"/>
      <c r="I1" s="20"/>
      <c r="J1" s="20"/>
    </row>
    <row r="2" spans="1:10" customFormat="1" ht="26.25" thickBot="1" x14ac:dyDescent="0.3">
      <c r="A2" s="126" t="s">
        <v>0</v>
      </c>
      <c r="B2" s="82" t="s">
        <v>1</v>
      </c>
      <c r="C2" s="82" t="s">
        <v>2</v>
      </c>
      <c r="D2" s="110" t="s">
        <v>636</v>
      </c>
      <c r="E2" s="111" t="s">
        <v>637</v>
      </c>
      <c r="F2" s="111" t="s">
        <v>638</v>
      </c>
      <c r="G2" s="110" t="s">
        <v>639</v>
      </c>
      <c r="H2" s="110" t="s">
        <v>640</v>
      </c>
      <c r="I2" s="110" t="s">
        <v>641</v>
      </c>
      <c r="J2" s="110" t="s">
        <v>642</v>
      </c>
    </row>
    <row r="3" spans="1:10" customFormat="1" ht="15.75" thickBot="1" x14ac:dyDescent="0.3">
      <c r="A3" s="21" t="s">
        <v>3</v>
      </c>
      <c r="B3" s="198" t="s">
        <v>4</v>
      </c>
      <c r="C3" s="83" t="s">
        <v>5</v>
      </c>
      <c r="D3" s="1">
        <v>90</v>
      </c>
      <c r="E3" s="12" t="str">
        <f>VLOOKUP(A3,'[1]Global Roaming'!F:I,3,0)</f>
        <v>603</v>
      </c>
      <c r="F3" s="12" t="str">
        <f>VLOOKUP(A3,'[1]Global Roaming'!F:I,4,0)</f>
        <v>01</v>
      </c>
      <c r="G3" s="22" t="str">
        <f>VLOOKUP(A3,'[1]Global Roaming'!F:Z,21,0)</f>
        <v>Bilateral</v>
      </c>
      <c r="H3" s="22" t="str">
        <f>VLOOKUP(A3,'[1]Global Roaming'!F:L,7,0)</f>
        <v>YES</v>
      </c>
      <c r="I3" s="22" t="str">
        <f>VLOOKUP(A3,'[1]Global Roaming'!F:P,11,0)</f>
        <v>YES</v>
      </c>
      <c r="J3" s="22" t="str">
        <f>VLOOKUP(A3,'[1]Global Roaming'!F:T,15,0)</f>
        <v>YES</v>
      </c>
    </row>
    <row r="4" spans="1:10" customFormat="1" ht="15.75" thickBot="1" x14ac:dyDescent="0.3">
      <c r="A4" s="21" t="s">
        <v>6</v>
      </c>
      <c r="B4" s="199"/>
      <c r="C4" s="84" t="s">
        <v>7</v>
      </c>
      <c r="D4" s="2">
        <v>10</v>
      </c>
      <c r="E4" s="9" t="str">
        <f>VLOOKUP(A4,'[1]Global Roaming'!F:I,3,0)</f>
        <v>603</v>
      </c>
      <c r="F4" s="9" t="str">
        <f>VLOOKUP(A4,'[1]Global Roaming'!F:I,4,0)</f>
        <v>03</v>
      </c>
      <c r="G4" s="23" t="str">
        <f>VLOOKUP(A4,'[1]Global Roaming'!F:Z,21,0)</f>
        <v>Bilateral</v>
      </c>
      <c r="H4" s="23" t="str">
        <f>VLOOKUP(A4,'[1]Global Roaming'!F:L,7,0)</f>
        <v>YES</v>
      </c>
      <c r="I4" s="23" t="str">
        <f>VLOOKUP(A4,'[1]Global Roaming'!F:P,11,0)</f>
        <v>YES</v>
      </c>
      <c r="J4" s="23" t="str">
        <f>VLOOKUP(A4,'[1]Global Roaming'!F:T,15,0)</f>
        <v>YES</v>
      </c>
    </row>
    <row r="5" spans="1:10" customFormat="1" ht="15.75" thickBot="1" x14ac:dyDescent="0.3">
      <c r="A5" s="21" t="s">
        <v>8</v>
      </c>
      <c r="B5" s="201"/>
      <c r="C5" s="85" t="s">
        <v>9</v>
      </c>
      <c r="D5" s="3" t="s">
        <v>10</v>
      </c>
      <c r="E5" s="10" t="str">
        <f>VLOOKUP(A5,'[1]Global Roaming'!F:I,3,0)</f>
        <v>603</v>
      </c>
      <c r="F5" s="10" t="str">
        <f>VLOOKUP(A5,'[1]Global Roaming'!F:I,4,0)</f>
        <v>02</v>
      </c>
      <c r="G5" s="24" t="str">
        <f>VLOOKUP(A5,'[1]Global Roaming'!F:Z,21,0)</f>
        <v>Bilateral</v>
      </c>
      <c r="H5" s="24" t="str">
        <f>VLOOKUP(A5,'[1]Global Roaming'!F:L,7,0)</f>
        <v>YES</v>
      </c>
      <c r="I5" s="24" t="str">
        <f>VLOOKUP(A5,'[1]Global Roaming'!F:P,11,0)</f>
        <v>YES</v>
      </c>
      <c r="J5" s="24" t="str">
        <f>VLOOKUP(A5,'[1]Global Roaming'!F:T,15,0)</f>
        <v>YES</v>
      </c>
    </row>
    <row r="6" spans="1:10" customFormat="1" ht="15.75" thickBot="1" x14ac:dyDescent="0.3">
      <c r="A6" s="21" t="s">
        <v>11</v>
      </c>
      <c r="B6" s="198" t="s">
        <v>12</v>
      </c>
      <c r="C6" s="83" t="s">
        <v>13</v>
      </c>
      <c r="D6" s="1">
        <v>90</v>
      </c>
      <c r="E6" s="12" t="str">
        <f>VLOOKUP(A6,'[1]Global Roaming'!F:I,3,0)</f>
        <v>232</v>
      </c>
      <c r="F6" s="12" t="str">
        <f>VLOOKUP(A6,'[1]Global Roaming'!F:I,4,0)</f>
        <v>05</v>
      </c>
      <c r="G6" s="22" t="str">
        <f>VLOOKUP(A6,'[1]Global Roaming'!F:Z,21,0)</f>
        <v>Bilateral</v>
      </c>
      <c r="H6" s="22" t="str">
        <f>VLOOKUP(A6,'[1]Global Roaming'!F:L,7,0)</f>
        <v>YES</v>
      </c>
      <c r="I6" s="22" t="str">
        <f>VLOOKUP(A6,'[1]Global Roaming'!F:P,11,0)</f>
        <v>YES</v>
      </c>
      <c r="J6" s="22" t="str">
        <f>VLOOKUP(A6,'[1]Global Roaming'!F:T,15,0)</f>
        <v>YES</v>
      </c>
    </row>
    <row r="7" spans="1:10" customFormat="1" ht="15.75" thickBot="1" x14ac:dyDescent="0.3">
      <c r="A7" s="21" t="s">
        <v>650</v>
      </c>
      <c r="B7" s="199"/>
      <c r="C7" s="84" t="s">
        <v>14</v>
      </c>
      <c r="D7" s="2" t="s">
        <v>10</v>
      </c>
      <c r="E7" s="9" t="str">
        <f>VLOOKUP(A7,'[1]Global Roaming'!F:I,3,0)</f>
        <v>232</v>
      </c>
      <c r="F7" s="9" t="str">
        <f>VLOOKUP(A7,'[1]Global Roaming'!F:I,4,0)</f>
        <v>03</v>
      </c>
      <c r="G7" s="23" t="str">
        <f>VLOOKUP(A7,'[1]Global Roaming'!F:Z,21,0)</f>
        <v>Bilateral</v>
      </c>
      <c r="H7" s="23" t="str">
        <f>VLOOKUP(A7,'[1]Global Roaming'!F:L,7,0)</f>
        <v>YES</v>
      </c>
      <c r="I7" s="23" t="str">
        <f>VLOOKUP(A7,'[1]Global Roaming'!F:P,11,0)</f>
        <v>YES</v>
      </c>
      <c r="J7" s="23">
        <f>VLOOKUP(A7,'[1]Global Roaming'!F:T,15,0)</f>
        <v>0</v>
      </c>
    </row>
    <row r="8" spans="1:10" customFormat="1" ht="15.75" thickBot="1" x14ac:dyDescent="0.3">
      <c r="A8" s="21" t="s">
        <v>15</v>
      </c>
      <c r="B8" s="201"/>
      <c r="C8" s="85" t="s">
        <v>16</v>
      </c>
      <c r="D8" s="3">
        <v>10</v>
      </c>
      <c r="E8" s="10">
        <f>VLOOKUP(A8,'[1]Global Roaming'!F:I,3,0)</f>
        <v>232</v>
      </c>
      <c r="F8" s="10" t="str">
        <f>VLOOKUP(A8,'[1]Global Roaming'!F:I,4,0)</f>
        <v>01</v>
      </c>
      <c r="G8" s="24" t="str">
        <f>VLOOKUP(A8,'[1]Global Roaming'!F:Z,21,0)</f>
        <v>Bilateral</v>
      </c>
      <c r="H8" s="24" t="str">
        <f>VLOOKUP(A8,'[1]Global Roaming'!F:L,7,0)</f>
        <v>YES</v>
      </c>
      <c r="I8" s="24" t="str">
        <f>VLOOKUP(A8,'[1]Global Roaming'!F:P,11,0)</f>
        <v>YES</v>
      </c>
      <c r="J8" s="24" t="str">
        <f>VLOOKUP(A8,'[1]Global Roaming'!F:T,15,0)</f>
        <v>YES</v>
      </c>
    </row>
    <row r="9" spans="1:10" customFormat="1" ht="15.75" thickBot="1" x14ac:dyDescent="0.3">
      <c r="A9" s="21" t="s">
        <v>617</v>
      </c>
      <c r="B9" s="198" t="s">
        <v>17</v>
      </c>
      <c r="C9" s="83" t="s">
        <v>18</v>
      </c>
      <c r="D9" s="1">
        <v>90</v>
      </c>
      <c r="E9" s="12" t="str">
        <f>VLOOKUP(A9,'[1]Global Roaming'!F:I,3,0)</f>
        <v>206</v>
      </c>
      <c r="F9" s="12" t="str">
        <f>VLOOKUP(A9,'[1]Global Roaming'!F:I,4,0)</f>
        <v>10</v>
      </c>
      <c r="G9" s="22" t="str">
        <f>VLOOKUP(A9,'[1]Global Roaming'!F:Z,21,0)</f>
        <v>Bilateral</v>
      </c>
      <c r="H9" s="22" t="str">
        <f>VLOOKUP(A9,'[1]Global Roaming'!F:L,7,0)</f>
        <v>YES</v>
      </c>
      <c r="I9" s="22" t="str">
        <f>VLOOKUP(A9,'[1]Global Roaming'!F:P,11,0)</f>
        <v>YES</v>
      </c>
      <c r="J9" s="22" t="str">
        <f>VLOOKUP(A9,'[1]Global Roaming'!F:T,15,0)</f>
        <v>YES</v>
      </c>
    </row>
    <row r="10" spans="1:10" customFormat="1" ht="15.75" thickBot="1" x14ac:dyDescent="0.3">
      <c r="A10" s="21" t="s">
        <v>19</v>
      </c>
      <c r="B10" s="199"/>
      <c r="C10" s="84" t="s">
        <v>20</v>
      </c>
      <c r="D10" s="2">
        <v>10</v>
      </c>
      <c r="E10" s="9" t="str">
        <f>VLOOKUP(A10,'[1]Global Roaming'!F:I,3,0)</f>
        <v>206</v>
      </c>
      <c r="F10" s="9" t="str">
        <f>VLOOKUP(A10,'[1]Global Roaming'!F:I,4,0)</f>
        <v>01</v>
      </c>
      <c r="G10" s="23" t="str">
        <f>VLOOKUP(A10,'[1]Global Roaming'!F:Z,21,0)</f>
        <v>Bilateral</v>
      </c>
      <c r="H10" s="23" t="str">
        <f>VLOOKUP(A10,'[1]Global Roaming'!F:L,7,0)</f>
        <v>YES</v>
      </c>
      <c r="I10" s="23" t="str">
        <f>VLOOKUP(A10,'[1]Global Roaming'!F:P,11,0)</f>
        <v>YES</v>
      </c>
      <c r="J10" s="23">
        <f>VLOOKUP(A10,'[1]Global Roaming'!F:T,15,0)</f>
        <v>0</v>
      </c>
    </row>
    <row r="11" spans="1:10" customFormat="1" ht="15.75" thickBot="1" x14ac:dyDescent="0.3">
      <c r="A11" s="21" t="s">
        <v>291</v>
      </c>
      <c r="B11" s="199"/>
      <c r="C11" s="84" t="s">
        <v>144</v>
      </c>
      <c r="D11" s="2" t="s">
        <v>10</v>
      </c>
      <c r="E11" s="9" t="str">
        <f>VLOOKUP(A11,'[1]Global Roaming'!F:I,3,0)</f>
        <v>206</v>
      </c>
      <c r="F11" s="9" t="str">
        <f>VLOOKUP(A11,'[1]Global Roaming'!F:I,4,0)</f>
        <v>05</v>
      </c>
      <c r="G11" s="23" t="str">
        <f>VLOOKUP(A11,'[1]Global Roaming'!F:Z,21,0)</f>
        <v>Bilateral</v>
      </c>
      <c r="H11" s="23" t="str">
        <f>VLOOKUP(A11,'[1]Global Roaming'!F:L,7,0)</f>
        <v>N.A</v>
      </c>
      <c r="I11" s="23" t="str">
        <f>VLOOKUP(A11,'[1]Global Roaming'!F:P,11,0)</f>
        <v>N.A</v>
      </c>
      <c r="J11" s="23" t="str">
        <f>VLOOKUP(A11,'[1]Global Roaming'!F:T,15,0)</f>
        <v>N.A</v>
      </c>
    </row>
    <row r="12" spans="1:10" customFormat="1" ht="15.75" thickBot="1" x14ac:dyDescent="0.3">
      <c r="A12" s="21" t="s">
        <v>21</v>
      </c>
      <c r="B12" s="201"/>
      <c r="C12" s="85" t="s">
        <v>144</v>
      </c>
      <c r="D12" s="3" t="s">
        <v>10</v>
      </c>
      <c r="E12" s="10" t="str">
        <f>VLOOKUP(A12,'[1]Global Roaming'!F:I,3,0)</f>
        <v>206</v>
      </c>
      <c r="F12" s="10" t="str">
        <f>VLOOKUP(A12,'[1]Global Roaming'!F:I,4,0)</f>
        <v>20</v>
      </c>
      <c r="G12" s="24" t="str">
        <f>VLOOKUP(A12,'[1]Global Roaming'!F:Z,21,0)</f>
        <v>Bilateral</v>
      </c>
      <c r="H12" s="24" t="str">
        <f>VLOOKUP(A12,'[1]Global Roaming'!F:L,7,0)</f>
        <v>YES</v>
      </c>
      <c r="I12" s="24" t="str">
        <f>VLOOKUP(A12,'[1]Global Roaming'!F:P,11,0)</f>
        <v>YES</v>
      </c>
      <c r="J12" s="24" t="str">
        <f>VLOOKUP(A12,'[1]Global Roaming'!F:T,15,0)</f>
        <v>YES</v>
      </c>
    </row>
    <row r="13" spans="1:10" customFormat="1" ht="15.75" thickBot="1" x14ac:dyDescent="0.3">
      <c r="A13" s="21" t="s">
        <v>22</v>
      </c>
      <c r="B13" s="198" t="s">
        <v>23</v>
      </c>
      <c r="C13" s="83" t="s">
        <v>24</v>
      </c>
      <c r="D13" s="1">
        <v>10</v>
      </c>
      <c r="E13" s="12" t="str">
        <f>VLOOKUP(A13,'[1]Global Roaming'!F:I,3,0)</f>
        <v>302</v>
      </c>
      <c r="F13" s="12" t="str">
        <f>VLOOKUP(A13,'[1]Global Roaming'!F:I,4,0)</f>
        <v>220</v>
      </c>
      <c r="G13" s="22" t="str">
        <f>VLOOKUP(A13,'[1]Global Roaming'!F:Z,21,0)</f>
        <v>Bilateral</v>
      </c>
      <c r="H13" s="22" t="str">
        <f>VLOOKUP(A13,'[1]Global Roaming'!F:L,7,0)</f>
        <v>YES</v>
      </c>
      <c r="I13" s="22" t="str">
        <f>VLOOKUP(A13,'[1]Global Roaming'!F:P,11,0)</f>
        <v>YES</v>
      </c>
      <c r="J13" s="22" t="str">
        <f>VLOOKUP(A13,'[1]Global Roaming'!F:T,15,0)</f>
        <v>YES</v>
      </c>
    </row>
    <row r="14" spans="1:10" customFormat="1" ht="15.75" thickBot="1" x14ac:dyDescent="0.3">
      <c r="A14" s="21" t="s">
        <v>25</v>
      </c>
      <c r="B14" s="199"/>
      <c r="C14" s="84" t="s">
        <v>26</v>
      </c>
      <c r="D14" s="2">
        <v>0</v>
      </c>
      <c r="E14" s="9" t="str">
        <f>VLOOKUP(A14,'[1]Global Roaming'!F:I,3,0)</f>
        <v>302</v>
      </c>
      <c r="F14" s="9" t="str">
        <f>VLOOKUP(A14,'[1]Global Roaming'!F:I,4,0)</f>
        <v>780</v>
      </c>
      <c r="G14" s="23" t="str">
        <f>VLOOKUP(A14,'[1]Global Roaming'!F:Z,21,0)</f>
        <v>Orange Hub</v>
      </c>
      <c r="H14" s="23" t="str">
        <f>VLOOKUP(A14,'[1]Global Roaming'!F:L,7,0)</f>
        <v>YES</v>
      </c>
      <c r="I14" s="23">
        <f>VLOOKUP(A14,'[1]Global Roaming'!F:P,11,0)</f>
        <v>0</v>
      </c>
      <c r="J14" s="23" t="str">
        <f>VLOOKUP(A14,'[1]Global Roaming'!F:T,15,0)</f>
        <v>YES</v>
      </c>
    </row>
    <row r="15" spans="1:10" customFormat="1" ht="15.75" thickBot="1" x14ac:dyDescent="0.3">
      <c r="A15" s="21" t="s">
        <v>27</v>
      </c>
      <c r="B15" s="199"/>
      <c r="C15" s="84" t="s">
        <v>28</v>
      </c>
      <c r="D15" s="2">
        <v>80</v>
      </c>
      <c r="E15" s="9" t="str">
        <f>VLOOKUP(A15,'[1]Global Roaming'!F:I,3,0)</f>
        <v>302</v>
      </c>
      <c r="F15" s="9" t="str">
        <f>VLOOKUP(A15,'[1]Global Roaming'!F:I,4,0)</f>
        <v>720</v>
      </c>
      <c r="G15" s="23" t="str">
        <f>VLOOKUP(A15,'[1]Global Roaming'!F:Z,21,0)</f>
        <v>Bilateral</v>
      </c>
      <c r="H15" s="23" t="str">
        <f>VLOOKUP(A15,'[1]Global Roaming'!F:L,7,0)</f>
        <v>YES</v>
      </c>
      <c r="I15" s="23" t="str">
        <f>VLOOKUP(A15,'[1]Global Roaming'!F:P,11,0)</f>
        <v>YES</v>
      </c>
      <c r="J15" s="23" t="str">
        <f>VLOOKUP(A15,'[1]Global Roaming'!F:T,15,0)</f>
        <v>YES</v>
      </c>
    </row>
    <row r="16" spans="1:10" customFormat="1" ht="15.75" thickBot="1" x14ac:dyDescent="0.3">
      <c r="A16" s="21" t="s">
        <v>29</v>
      </c>
      <c r="B16" s="201"/>
      <c r="C16" s="85" t="s">
        <v>30</v>
      </c>
      <c r="D16" s="3">
        <v>10</v>
      </c>
      <c r="E16" s="10" t="str">
        <f>VLOOKUP(A16,'[1]Global Roaming'!F:I,3,0)</f>
        <v>302</v>
      </c>
      <c r="F16" s="10" t="str">
        <f>VLOOKUP(A16,'[1]Global Roaming'!F:I,4,0)</f>
        <v>610</v>
      </c>
      <c r="G16" s="24" t="str">
        <f>VLOOKUP(A16,'[1]Global Roaming'!F:Z,21,0)</f>
        <v>Bilateral</v>
      </c>
      <c r="H16" s="24" t="str">
        <f>VLOOKUP(A16,'[1]Global Roaming'!F:L,7,0)</f>
        <v>YES</v>
      </c>
      <c r="I16" s="24" t="str">
        <f>VLOOKUP(A16,'[1]Global Roaming'!F:P,11,0)</f>
        <v>YES</v>
      </c>
      <c r="J16" s="24" t="str">
        <f>VLOOKUP(A16,'[1]Global Roaming'!F:T,15,0)</f>
        <v>YES</v>
      </c>
    </row>
    <row r="17" spans="1:10" customFormat="1" ht="15.75" thickBot="1" x14ac:dyDescent="0.3">
      <c r="A17" s="21" t="s">
        <v>31</v>
      </c>
      <c r="B17" s="198" t="s">
        <v>32</v>
      </c>
      <c r="C17" s="83" t="s">
        <v>33</v>
      </c>
      <c r="D17" s="1">
        <v>10</v>
      </c>
      <c r="E17" s="12" t="str">
        <f>VLOOKUP(A17,'[1]Global Roaming'!F:I,3,0)</f>
        <v>230</v>
      </c>
      <c r="F17" s="12" t="str">
        <f>VLOOKUP(A17,'[1]Global Roaming'!F:I,4,0)</f>
        <v>01</v>
      </c>
      <c r="G17" s="22" t="str">
        <f>VLOOKUP(A17,'[1]Global Roaming'!F:Z,21,0)</f>
        <v>Bilateral</v>
      </c>
      <c r="H17" s="22" t="str">
        <f>VLOOKUP(A17,'[1]Global Roaming'!F:L,7,0)</f>
        <v>YES</v>
      </c>
      <c r="I17" s="22" t="str">
        <f>VLOOKUP(A17,'[1]Global Roaming'!F:P,11,0)</f>
        <v>Arrêté</v>
      </c>
      <c r="J17" s="22" t="str">
        <f>VLOOKUP(A17,'[1]Global Roaming'!F:T,15,0)</f>
        <v>YES</v>
      </c>
    </row>
    <row r="18" spans="1:10" customFormat="1" ht="15.75" thickBot="1" x14ac:dyDescent="0.3">
      <c r="A18" s="21" t="s">
        <v>34</v>
      </c>
      <c r="B18" s="199"/>
      <c r="C18" s="84" t="s">
        <v>35</v>
      </c>
      <c r="D18" s="2">
        <v>90</v>
      </c>
      <c r="E18" s="9" t="str">
        <f>VLOOKUP(A18,'[1]Global Roaming'!F:I,3,0)</f>
        <v>230</v>
      </c>
      <c r="F18" s="9" t="str">
        <f>VLOOKUP(A18,'[1]Global Roaming'!F:I,4,0)</f>
        <v>03</v>
      </c>
      <c r="G18" s="23" t="str">
        <f>VLOOKUP(A18,'[1]Global Roaming'!F:Z,21,0)</f>
        <v>Orange Hub</v>
      </c>
      <c r="H18" s="23" t="str">
        <f>VLOOKUP(A18,'[1]Global Roaming'!F:L,7,0)</f>
        <v>YES</v>
      </c>
      <c r="I18" s="23" t="str">
        <f>VLOOKUP(A18,'[1]Global Roaming'!F:P,11,0)</f>
        <v>Arrêté</v>
      </c>
      <c r="J18" s="23" t="str">
        <f>VLOOKUP(A18,'[1]Global Roaming'!F:T,15,0)</f>
        <v>YES</v>
      </c>
    </row>
    <row r="19" spans="1:10" customFormat="1" ht="15.75" thickBot="1" x14ac:dyDescent="0.3">
      <c r="A19" s="21" t="s">
        <v>36</v>
      </c>
      <c r="B19" s="201"/>
      <c r="C19" s="85" t="s">
        <v>37</v>
      </c>
      <c r="D19" s="3" t="s">
        <v>10</v>
      </c>
      <c r="E19" s="10" t="str">
        <f>VLOOKUP(A19,'[1]Global Roaming'!F:I,3,0)</f>
        <v>230</v>
      </c>
      <c r="F19" s="10" t="str">
        <f>VLOOKUP(A19,'[1]Global Roaming'!F:I,4,0)</f>
        <v>02</v>
      </c>
      <c r="G19" s="24" t="str">
        <f>VLOOKUP(A19,'[1]Global Roaming'!F:Z,21,0)</f>
        <v>Bilateral</v>
      </c>
      <c r="H19" s="24" t="str">
        <f>VLOOKUP(A19,'[1]Global Roaming'!F:L,7,0)</f>
        <v>YES</v>
      </c>
      <c r="I19" s="24" t="str">
        <f>VLOOKUP(A19,'[1]Global Roaming'!F:P,11,0)</f>
        <v>Arrêté</v>
      </c>
      <c r="J19" s="24" t="str">
        <f>VLOOKUP(A19,'[1]Global Roaming'!F:T,15,0)</f>
        <v>YES</v>
      </c>
    </row>
    <row r="20" spans="1:10" customFormat="1" ht="15.75" thickBot="1" x14ac:dyDescent="0.3">
      <c r="A20" s="21" t="s">
        <v>38</v>
      </c>
      <c r="B20" s="198" t="s">
        <v>39</v>
      </c>
      <c r="C20" s="83" t="s">
        <v>40</v>
      </c>
      <c r="D20" s="1">
        <v>0</v>
      </c>
      <c r="E20" s="12" t="str">
        <f>VLOOKUP(A20,'[1]Global Roaming'!F:I,3,0)</f>
        <v>602</v>
      </c>
      <c r="F20" s="12" t="str">
        <f>VLOOKUP(A20,'[1]Global Roaming'!F:I,4,0)</f>
        <v>03</v>
      </c>
      <c r="G20" s="22" t="str">
        <f>VLOOKUP(A20,'[1]Global Roaming'!F:Z,21,0)</f>
        <v>Bilateral</v>
      </c>
      <c r="H20" s="22" t="str">
        <f>VLOOKUP(A20,'[1]Global Roaming'!F:L,7,0)</f>
        <v>YES</v>
      </c>
      <c r="I20" s="22" t="str">
        <f>VLOOKUP(A20,'[1]Global Roaming'!F:P,11,0)</f>
        <v>YES</v>
      </c>
      <c r="J20" s="22" t="str">
        <f>VLOOKUP(A20,'[1]Global Roaming'!F:T,15,0)</f>
        <v>YES</v>
      </c>
    </row>
    <row r="21" spans="1:10" customFormat="1" ht="15.75" thickBot="1" x14ac:dyDescent="0.3">
      <c r="A21" s="21" t="s">
        <v>41</v>
      </c>
      <c r="B21" s="199"/>
      <c r="C21" s="84" t="s">
        <v>42</v>
      </c>
      <c r="D21" s="2">
        <v>10</v>
      </c>
      <c r="E21" s="9" t="str">
        <f>VLOOKUP(A21,'[1]Global Roaming'!F:I,3,0)</f>
        <v>602</v>
      </c>
      <c r="F21" s="9" t="str">
        <f>VLOOKUP(A21,'[1]Global Roaming'!F:I,4,0)</f>
        <v>02</v>
      </c>
      <c r="G21" s="23" t="str">
        <f>VLOOKUP(A21,'[1]Global Roaming'!F:Z,21,0)</f>
        <v>Bilateral</v>
      </c>
      <c r="H21" s="23" t="str">
        <f>VLOOKUP(A21,'[1]Global Roaming'!F:L,7,0)</f>
        <v>YES</v>
      </c>
      <c r="I21" s="23" t="str">
        <f>VLOOKUP(A21,'[1]Global Roaming'!F:P,11,0)</f>
        <v>YES</v>
      </c>
      <c r="J21" s="23" t="str">
        <f>VLOOKUP(A21,'[1]Global Roaming'!F:T,15,0)</f>
        <v>YES</v>
      </c>
    </row>
    <row r="22" spans="1:10" customFormat="1" ht="15.75" thickBot="1" x14ac:dyDescent="0.3">
      <c r="A22" s="40" t="s">
        <v>44</v>
      </c>
      <c r="B22" s="200"/>
      <c r="C22" s="87" t="s">
        <v>45</v>
      </c>
      <c r="D22" s="5">
        <v>90</v>
      </c>
      <c r="E22" s="13" t="str">
        <f>VLOOKUP(A22,'[1]Global Roaming'!F:I,3,0)</f>
        <v>602</v>
      </c>
      <c r="F22" s="13" t="str">
        <f>VLOOKUP(A22,'[1]Global Roaming'!F:I,4,0)</f>
        <v>01</v>
      </c>
      <c r="G22" s="26" t="str">
        <f>VLOOKUP(A22,'[1]Global Roaming'!F:Z,21,0)</f>
        <v>Orange Hub</v>
      </c>
      <c r="H22" s="26" t="str">
        <f>VLOOKUP(A22,'[1]Global Roaming'!F:L,7,0)</f>
        <v>YES</v>
      </c>
      <c r="I22" s="26" t="str">
        <f>VLOOKUP(A22,'[1]Global Roaming'!F:P,11,0)</f>
        <v>YES</v>
      </c>
      <c r="J22" s="26" t="str">
        <f>VLOOKUP(A22,'[1]Global Roaming'!F:T,15,0)</f>
        <v>YES</v>
      </c>
    </row>
    <row r="23" spans="1:10" customFormat="1" x14ac:dyDescent="0.25">
      <c r="A23" s="21" t="s">
        <v>46</v>
      </c>
      <c r="B23" s="198" t="s">
        <v>47</v>
      </c>
      <c r="C23" s="83" t="s">
        <v>48</v>
      </c>
      <c r="D23" s="44">
        <v>15</v>
      </c>
      <c r="E23" s="47" t="str">
        <f>VLOOKUP(A23,'[1]Global Roaming'!F:I,3,0)</f>
        <v>208</v>
      </c>
      <c r="F23" s="47" t="str">
        <f>VLOOKUP(A23,'[1]Global Roaming'!F:I,4,0)</f>
        <v>15</v>
      </c>
      <c r="G23" s="48" t="str">
        <f>VLOOKUP(A23,'[1]Global Roaming'!F:Z,21,0)</f>
        <v>Bilateral</v>
      </c>
      <c r="H23" s="48" t="str">
        <f>VLOOKUP(A23,'[1]Global Roaming'!F:L,7,0)</f>
        <v>YES</v>
      </c>
      <c r="I23" s="48" t="str">
        <f>VLOOKUP(A23,'[1]Global Roaming'!F:P,11,0)</f>
        <v>YES</v>
      </c>
      <c r="J23" s="22" t="str">
        <f>VLOOKUP(A23,'[1]Global Roaming'!F:T,15,0)</f>
        <v>YES</v>
      </c>
    </row>
    <row r="24" spans="1:10" customFormat="1" x14ac:dyDescent="0.25">
      <c r="A24" s="49" t="s">
        <v>49</v>
      </c>
      <c r="B24" s="199"/>
      <c r="C24" s="84" t="s">
        <v>50</v>
      </c>
      <c r="D24" s="42" t="s">
        <v>10</v>
      </c>
      <c r="E24" s="45" t="str">
        <f>VLOOKUP(A24,'[1]Global Roaming'!F:I,3,0)</f>
        <v>208</v>
      </c>
      <c r="F24" s="45" t="str">
        <f>VLOOKUP(A24,'[1]Global Roaming'!F:I,4,0)</f>
        <v>10</v>
      </c>
      <c r="G24" s="46" t="str">
        <f>VLOOKUP(A24,'[1]Global Roaming'!F:Z,21,0)</f>
        <v>Bilateral</v>
      </c>
      <c r="H24" s="46" t="str">
        <f>VLOOKUP(A24,'[1]Global Roaming'!F:L,7,0)</f>
        <v>YES</v>
      </c>
      <c r="I24" s="46" t="str">
        <f>VLOOKUP(A24,'[1]Global Roaming'!F:P,11,0)</f>
        <v>YES</v>
      </c>
      <c r="J24" s="23" t="str">
        <f>VLOOKUP(A24,'[1]Global Roaming'!F:T,15,0)</f>
        <v>YES</v>
      </c>
    </row>
    <row r="25" spans="1:10" customFormat="1" x14ac:dyDescent="0.25">
      <c r="A25" s="49" t="s">
        <v>51</v>
      </c>
      <c r="B25" s="199"/>
      <c r="C25" s="84" t="s">
        <v>52</v>
      </c>
      <c r="D25" s="42">
        <v>85</v>
      </c>
      <c r="E25" s="45" t="str">
        <f>VLOOKUP(A25,'[1]Global Roaming'!F:I,3,0)</f>
        <v>208</v>
      </c>
      <c r="F25" s="45" t="str">
        <f>VLOOKUP(A25,'[1]Global Roaming'!F:I,4,0)</f>
        <v>01</v>
      </c>
      <c r="G25" s="46" t="str">
        <f>VLOOKUP(A25,'[1]Global Roaming'!F:Z,21,0)</f>
        <v>Bilateral</v>
      </c>
      <c r="H25" s="46" t="str">
        <f>VLOOKUP(A25,'[1]Global Roaming'!F:L,7,0)</f>
        <v>YES</v>
      </c>
      <c r="I25" s="46" t="str">
        <f>VLOOKUP(A25,'[1]Global Roaming'!F:P,11,0)</f>
        <v>YES</v>
      </c>
      <c r="J25" s="23" t="str">
        <f>VLOOKUP(A25,'[1]Global Roaming'!F:T,15,0)</f>
        <v>YES</v>
      </c>
    </row>
    <row r="26" spans="1:10" customFormat="1" ht="15.75" thickBot="1" x14ac:dyDescent="0.3">
      <c r="A26" s="50" t="s">
        <v>53</v>
      </c>
      <c r="B26" s="201"/>
      <c r="C26" s="85" t="s">
        <v>54</v>
      </c>
      <c r="D26" s="67" t="s">
        <v>10</v>
      </c>
      <c r="E26" s="51" t="str">
        <f>VLOOKUP(A26,'[1]Global Roaming'!F:I,3,0)</f>
        <v>208</v>
      </c>
      <c r="F26" s="51" t="str">
        <f>VLOOKUP(A26,'[1]Global Roaming'!F:I,4,0)</f>
        <v>20</v>
      </c>
      <c r="G26" s="52" t="str">
        <f>VLOOKUP(A26,'[1]Global Roaming'!F:Z,21,0)</f>
        <v>Bilateral</v>
      </c>
      <c r="H26" s="52" t="str">
        <f>VLOOKUP(A26,'[1]Global Roaming'!F:L,7,0)</f>
        <v>YES</v>
      </c>
      <c r="I26" s="52" t="str">
        <f>VLOOKUP(A26,'[1]Global Roaming'!F:P,11,0)</f>
        <v>YES</v>
      </c>
      <c r="J26" s="24" t="str">
        <f>VLOOKUP(A26,'[1]Global Roaming'!F:T,15,0)</f>
        <v>YES</v>
      </c>
    </row>
    <row r="27" spans="1:10" customFormat="1" x14ac:dyDescent="0.25">
      <c r="A27" s="21" t="s">
        <v>55</v>
      </c>
      <c r="B27" s="198" t="s">
        <v>56</v>
      </c>
      <c r="C27" s="83" t="s">
        <v>57</v>
      </c>
      <c r="D27" s="44">
        <v>20</v>
      </c>
      <c r="E27" s="47" t="str">
        <f>VLOOKUP(A27,'[1]Global Roaming'!F:I,3,0)</f>
        <v>262</v>
      </c>
      <c r="F27" s="47" t="str">
        <f>VLOOKUP(A27,'[1]Global Roaming'!F:I,4,0)</f>
        <v>07</v>
      </c>
      <c r="G27" s="48" t="str">
        <f>VLOOKUP(A27,'[1]Global Roaming'!F:Z,21,0)</f>
        <v>Bilateral</v>
      </c>
      <c r="H27" s="48" t="str">
        <f>VLOOKUP(A27,'[1]Global Roaming'!F:L,7,0)</f>
        <v>YES</v>
      </c>
      <c r="I27" s="48" t="str">
        <f>VLOOKUP(A27,'[1]Global Roaming'!F:P,11,0)</f>
        <v>YES</v>
      </c>
      <c r="J27" s="22" t="str">
        <f>VLOOKUP(A27,'[1]Global Roaming'!F:T,15,0)</f>
        <v>YES</v>
      </c>
    </row>
    <row r="28" spans="1:10" customFormat="1" x14ac:dyDescent="0.25">
      <c r="A28" s="49" t="s">
        <v>58</v>
      </c>
      <c r="B28" s="199"/>
      <c r="C28" s="84" t="s">
        <v>59</v>
      </c>
      <c r="D28" s="42" t="s">
        <v>10</v>
      </c>
      <c r="E28" s="45" t="str">
        <f>VLOOKUP(A28,'[1]Global Roaming'!F:I,3,0)</f>
        <v>262</v>
      </c>
      <c r="F28" s="45" t="str">
        <f>VLOOKUP(A28,'[1]Global Roaming'!F:I,4,0)</f>
        <v>01</v>
      </c>
      <c r="G28" s="46" t="str">
        <f>VLOOKUP(A28,'[1]Global Roaming'!F:Z,21,0)</f>
        <v>Bilateral</v>
      </c>
      <c r="H28" s="46" t="str">
        <f>VLOOKUP(A28,'[1]Global Roaming'!F:L,7,0)</f>
        <v>YES</v>
      </c>
      <c r="I28" s="46" t="str">
        <f>VLOOKUP(A28,'[1]Global Roaming'!F:P,11,0)</f>
        <v>Arrêté</v>
      </c>
      <c r="J28" s="23" t="str">
        <f>VLOOKUP(A28,'[1]Global Roaming'!F:T,15,0)</f>
        <v>YES</v>
      </c>
    </row>
    <row r="29" spans="1:10" customFormat="1" ht="15.75" thickBot="1" x14ac:dyDescent="0.3">
      <c r="A29" s="50" t="s">
        <v>60</v>
      </c>
      <c r="B29" s="201"/>
      <c r="C29" s="85" t="s">
        <v>61</v>
      </c>
      <c r="D29" s="67">
        <v>80</v>
      </c>
      <c r="E29" s="51" t="str">
        <f>VLOOKUP(A29,'[1]Global Roaming'!F:I,3,0)</f>
        <v>262</v>
      </c>
      <c r="F29" s="51" t="str">
        <f>VLOOKUP(A29,'[1]Global Roaming'!F:I,4,0)</f>
        <v>02</v>
      </c>
      <c r="G29" s="52" t="str">
        <f>VLOOKUP(A29,'[1]Global Roaming'!F:Z,21,0)</f>
        <v>Orange Hub</v>
      </c>
      <c r="H29" s="52" t="str">
        <f>VLOOKUP(A29,'[1]Global Roaming'!F:L,7,0)</f>
        <v>YES</v>
      </c>
      <c r="I29" s="52" t="str">
        <f>VLOOKUP(A29,'[1]Global Roaming'!F:P,11,0)</f>
        <v>YES</v>
      </c>
      <c r="J29" s="24" t="str">
        <f>VLOOKUP(A29,'[1]Global Roaming'!F:T,15,0)</f>
        <v>YES</v>
      </c>
    </row>
    <row r="30" spans="1:10" customFormat="1" x14ac:dyDescent="0.25">
      <c r="A30" s="21" t="s">
        <v>62</v>
      </c>
      <c r="B30" s="198" t="s">
        <v>63</v>
      </c>
      <c r="C30" s="83" t="s">
        <v>64</v>
      </c>
      <c r="D30" s="44" t="s">
        <v>43</v>
      </c>
      <c r="E30" s="47" t="str">
        <f>VLOOKUP(A30,'[1]Global Roaming'!F:I,3,0)</f>
        <v>901</v>
      </c>
      <c r="F30" s="47" t="str">
        <f>VLOOKUP(A30,'[1]Global Roaming'!F:I,4,0)</f>
        <v>26</v>
      </c>
      <c r="G30" s="48" t="str">
        <f>VLOOKUP(A30,'[1]Global Roaming'!F:Z,21,0)</f>
        <v>Bilateral</v>
      </c>
      <c r="H30" s="48" t="str">
        <f>VLOOKUP(A30,'[1]Global Roaming'!F:L,7,0)</f>
        <v>YES</v>
      </c>
      <c r="I30" s="48" t="str">
        <f>VLOOKUP(A30,'[1]Global Roaming'!F:P,11,0)</f>
        <v>YES</v>
      </c>
      <c r="J30" s="22">
        <f>VLOOKUP(A30,'[1]Global Roaming'!F:T,15,0)</f>
        <v>0</v>
      </c>
    </row>
    <row r="31" spans="1:10" customFormat="1" x14ac:dyDescent="0.25">
      <c r="A31" s="49" t="s">
        <v>65</v>
      </c>
      <c r="B31" s="199"/>
      <c r="C31" s="84" t="s">
        <v>66</v>
      </c>
      <c r="D31" s="42">
        <v>5</v>
      </c>
      <c r="E31" s="45" t="str">
        <f>VLOOKUP(A31,'[1]Global Roaming'!F:I,3,0)</f>
        <v>222</v>
      </c>
      <c r="F31" s="45" t="str">
        <f>VLOOKUP(A31,'[1]Global Roaming'!F:I,4,0)</f>
        <v>01</v>
      </c>
      <c r="G31" s="46" t="str">
        <f>VLOOKUP(A31,'[1]Global Roaming'!F:Z,21,0)</f>
        <v>Bilateral</v>
      </c>
      <c r="H31" s="46" t="str">
        <f>VLOOKUP(A31,'[1]Global Roaming'!F:L,7,0)</f>
        <v>YES</v>
      </c>
      <c r="I31" s="46" t="str">
        <f>VLOOKUP(A31,'[1]Global Roaming'!F:P,11,0)</f>
        <v>Arrêté</v>
      </c>
      <c r="J31" s="23" t="str">
        <f>VLOOKUP(A31,'[1]Global Roaming'!F:T,15,0)</f>
        <v>YES</v>
      </c>
    </row>
    <row r="32" spans="1:10" customFormat="1" x14ac:dyDescent="0.25">
      <c r="A32" s="49" t="s">
        <v>68</v>
      </c>
      <c r="B32" s="199"/>
      <c r="C32" s="84" t="s">
        <v>67</v>
      </c>
      <c r="D32" s="42">
        <v>0</v>
      </c>
      <c r="E32" s="45" t="str">
        <f>VLOOKUP(A32,'[1]Global Roaming'!F:I,3,0)</f>
        <v>222</v>
      </c>
      <c r="F32" s="45" t="str">
        <f>VLOOKUP(A32,'[1]Global Roaming'!F:I,4,0)</f>
        <v>88</v>
      </c>
      <c r="G32" s="46" t="str">
        <f>VLOOKUP(A32,'[1]Global Roaming'!F:Z,21,0)</f>
        <v>Bilateral</v>
      </c>
      <c r="H32" s="46" t="str">
        <f>VLOOKUP(A32,'[1]Global Roaming'!F:L,7,0)</f>
        <v>YES</v>
      </c>
      <c r="I32" s="46" t="str">
        <f>VLOOKUP(A32,'[1]Global Roaming'!F:P,11,0)</f>
        <v>YES</v>
      </c>
      <c r="J32" s="23" t="str">
        <f>VLOOKUP(A32,'[1]Global Roaming'!F:T,15,0)</f>
        <v>YES</v>
      </c>
    </row>
    <row r="33" spans="1:10" customFormat="1" x14ac:dyDescent="0.25">
      <c r="A33" s="49" t="s">
        <v>262</v>
      </c>
      <c r="B33" s="199"/>
      <c r="C33" s="84" t="s">
        <v>263</v>
      </c>
      <c r="D33" s="42">
        <v>65</v>
      </c>
      <c r="E33" s="45" t="str">
        <f>VLOOKUP(A33,'[1]Global Roaming'!F:I,3,0)</f>
        <v>222</v>
      </c>
      <c r="F33" s="45" t="str">
        <f>VLOOKUP(A33,'[1]Global Roaming'!F:I,4,0)</f>
        <v>50</v>
      </c>
      <c r="G33" s="46" t="str">
        <f>VLOOKUP(A33,'[1]Global Roaming'!F:Z,21,0)</f>
        <v>Bilateral</v>
      </c>
      <c r="H33" s="46" t="str">
        <f>VLOOKUP(A33,'[1]Global Roaming'!F:L,7,0)</f>
        <v>YES</v>
      </c>
      <c r="I33" s="46" t="str">
        <f>VLOOKUP(A33,'[1]Global Roaming'!F:P,11,0)</f>
        <v>YES</v>
      </c>
      <c r="J33" s="23" t="str">
        <f>VLOOKUP(A33,'[1]Global Roaming'!F:T,15,0)</f>
        <v>YES</v>
      </c>
    </row>
    <row r="34" spans="1:10" customFormat="1" ht="15.75" thickBot="1" x14ac:dyDescent="0.3">
      <c r="A34" s="50" t="s">
        <v>69</v>
      </c>
      <c r="B34" s="201"/>
      <c r="C34" s="85" t="s">
        <v>70</v>
      </c>
      <c r="D34" s="67">
        <v>30</v>
      </c>
      <c r="E34" s="51" t="str">
        <f>VLOOKUP(A34,'[1]Global Roaming'!F:I,3,0)</f>
        <v>222</v>
      </c>
      <c r="F34" s="51" t="str">
        <f>VLOOKUP(A34,'[1]Global Roaming'!F:I,4,0)</f>
        <v>10</v>
      </c>
      <c r="G34" s="52" t="str">
        <f>VLOOKUP(A34,'[1]Global Roaming'!F:Z,21,0)</f>
        <v>Orange Hub</v>
      </c>
      <c r="H34" s="52" t="str">
        <f>VLOOKUP(A34,'[1]Global Roaming'!F:L,7,0)</f>
        <v>YES</v>
      </c>
      <c r="I34" s="52" t="str">
        <f>VLOOKUP(A34,'[1]Global Roaming'!F:P,11,0)</f>
        <v>Arrêté</v>
      </c>
      <c r="J34" s="24" t="str">
        <f>VLOOKUP(A34,'[1]Global Roaming'!F:T,15,0)</f>
        <v>YES</v>
      </c>
    </row>
    <row r="35" spans="1:10" customFormat="1" ht="15.75" thickBot="1" x14ac:dyDescent="0.3">
      <c r="A35" s="38" t="s">
        <v>71</v>
      </c>
      <c r="B35" s="209" t="s">
        <v>72</v>
      </c>
      <c r="C35" s="86" t="s">
        <v>290</v>
      </c>
      <c r="D35" s="15">
        <v>20</v>
      </c>
      <c r="E35" s="8" t="str">
        <f>VLOOKUP(A35,'[1]Global Roaming'!F:I,3,0)</f>
        <v>278</v>
      </c>
      <c r="F35" s="8" t="str">
        <f>VLOOKUP(A35,'[1]Global Roaming'!F:I,4,0)</f>
        <v>01</v>
      </c>
      <c r="G35" s="25" t="str">
        <f>VLOOKUP(A35,'[1]Global Roaming'!F:Z,21,0)</f>
        <v>Bilateral</v>
      </c>
      <c r="H35" s="25" t="str">
        <f>VLOOKUP(A35,'[1]Global Roaming'!F:L,7,0)</f>
        <v>YES</v>
      </c>
      <c r="I35" s="25" t="str">
        <f>VLOOKUP(A35,'[1]Global Roaming'!F:P,11,0)</f>
        <v>YES</v>
      </c>
      <c r="J35" s="25" t="str">
        <f>VLOOKUP(A35,'[1]Global Roaming'!F:T,15,0)</f>
        <v>YES</v>
      </c>
    </row>
    <row r="36" spans="1:10" customFormat="1" ht="15.75" thickBot="1" x14ac:dyDescent="0.3">
      <c r="A36" s="21" t="s">
        <v>73</v>
      </c>
      <c r="B36" s="199"/>
      <c r="C36" s="84" t="s">
        <v>74</v>
      </c>
      <c r="D36" s="2" t="s">
        <v>10</v>
      </c>
      <c r="E36" s="9" t="str">
        <f>VLOOKUP(A36,'[1]Global Roaming'!F:I,3,0)</f>
        <v>901</v>
      </c>
      <c r="F36" s="9" t="str">
        <f>VLOOKUP(A36,'[1]Global Roaming'!F:I,4,0)</f>
        <v>19</v>
      </c>
      <c r="G36" s="23" t="str">
        <f>VLOOKUP(A36,'[1]Global Roaming'!F:Z,21,0)</f>
        <v>Orange Hub</v>
      </c>
      <c r="H36" s="23" t="str">
        <f>VLOOKUP(A36,'[1]Global Roaming'!F:L,7,0)</f>
        <v>YES</v>
      </c>
      <c r="I36" s="23" t="str">
        <f>VLOOKUP(A36,'[1]Global Roaming'!F:P,11,0)</f>
        <v>YES</v>
      </c>
      <c r="J36" s="23" t="str">
        <f>VLOOKUP(A36,'[1]Global Roaming'!F:T,15,0)</f>
        <v>YES</v>
      </c>
    </row>
    <row r="37" spans="1:10" customFormat="1" ht="15.75" thickBot="1" x14ac:dyDescent="0.3">
      <c r="A37" s="21" t="s">
        <v>75</v>
      </c>
      <c r="B37" s="199"/>
      <c r="C37" s="84" t="s">
        <v>76</v>
      </c>
      <c r="D37" s="2">
        <v>80</v>
      </c>
      <c r="E37" s="9" t="str">
        <f>VLOOKUP(A37,'[1]Global Roaming'!F:I,3,0)</f>
        <v>278</v>
      </c>
      <c r="F37" s="9" t="str">
        <f>VLOOKUP(A37,'[1]Global Roaming'!F:I,4,0)</f>
        <v>77</v>
      </c>
      <c r="G37" s="23" t="str">
        <f>VLOOKUP(A37,'[1]Global Roaming'!F:Z,21,0)</f>
        <v>Bilateral</v>
      </c>
      <c r="H37" s="23" t="str">
        <f>VLOOKUP(A37,'[1]Global Roaming'!F:L,7,0)</f>
        <v>YES</v>
      </c>
      <c r="I37" s="23" t="str">
        <f>VLOOKUP(A37,'[1]Global Roaming'!F:P,11,0)</f>
        <v>YES</v>
      </c>
      <c r="J37" s="23" t="str">
        <f>VLOOKUP(A37,'[1]Global Roaming'!F:T,15,0)</f>
        <v>YES</v>
      </c>
    </row>
    <row r="38" spans="1:10" customFormat="1" ht="15.75" thickBot="1" x14ac:dyDescent="0.3">
      <c r="A38" s="21" t="s">
        <v>77</v>
      </c>
      <c r="B38" s="200"/>
      <c r="C38" s="87" t="s">
        <v>78</v>
      </c>
      <c r="D38" s="5" t="s">
        <v>43</v>
      </c>
      <c r="E38" s="13" t="str">
        <f>VLOOKUP(A38,'[1]Global Roaming'!F:I,3,0)</f>
        <v>278</v>
      </c>
      <c r="F38" s="13" t="str">
        <f>VLOOKUP(A38,'[1]Global Roaming'!F:I,4,0)</f>
        <v>21</v>
      </c>
      <c r="G38" s="26" t="str">
        <f>VLOOKUP(A38,'[1]Global Roaming'!F:Z,21,0)</f>
        <v>Bilateral</v>
      </c>
      <c r="H38" s="26" t="str">
        <f>VLOOKUP(A38,'[1]Global Roaming'!F:L,7,0)</f>
        <v>YES</v>
      </c>
      <c r="I38" s="26" t="str">
        <f>VLOOKUP(A38,'[1]Global Roaming'!F:P,11,0)</f>
        <v>YES</v>
      </c>
      <c r="J38" s="26">
        <f>VLOOKUP(A38,'[1]Global Roaming'!F:T,15,0)</f>
        <v>0</v>
      </c>
    </row>
    <row r="39" spans="1:10" customFormat="1" ht="15.75" thickBot="1" x14ac:dyDescent="0.3">
      <c r="A39" s="21" t="s">
        <v>79</v>
      </c>
      <c r="B39" s="198" t="s">
        <v>80</v>
      </c>
      <c r="C39" s="83" t="s">
        <v>81</v>
      </c>
      <c r="D39" s="1">
        <v>0</v>
      </c>
      <c r="E39" s="12" t="str">
        <f>VLOOKUP(A39,'[1]Global Roaming'!F:I,3,0)</f>
        <v>604</v>
      </c>
      <c r="F39" s="12" t="str">
        <f>VLOOKUP(A39,'[1]Global Roaming'!F:I,4,0)</f>
        <v>02</v>
      </c>
      <c r="G39" s="22" t="str">
        <f>VLOOKUP(A39,'[1]Global Roaming'!F:Z,21,0)</f>
        <v>Bilateral</v>
      </c>
      <c r="H39" s="22" t="str">
        <f>VLOOKUP(A39,'[1]Global Roaming'!F:L,7,0)</f>
        <v>YES</v>
      </c>
      <c r="I39" s="22" t="str">
        <f>VLOOKUP(A39,'[1]Global Roaming'!F:P,11,0)</f>
        <v>YES</v>
      </c>
      <c r="J39" s="22" t="str">
        <f>VLOOKUP(A39,'[1]Global Roaming'!F:T,15,0)</f>
        <v>YES</v>
      </c>
    </row>
    <row r="40" spans="1:10" customFormat="1" ht="15.75" thickBot="1" x14ac:dyDescent="0.3">
      <c r="A40" s="21" t="s">
        <v>82</v>
      </c>
      <c r="B40" s="199"/>
      <c r="C40" s="84" t="s">
        <v>83</v>
      </c>
      <c r="D40" s="2">
        <v>15</v>
      </c>
      <c r="E40" s="9" t="str">
        <f>VLOOKUP(A40,'[1]Global Roaming'!F:I,3,0)</f>
        <v>604</v>
      </c>
      <c r="F40" s="9" t="str">
        <f>VLOOKUP(A40,'[1]Global Roaming'!F:I,4,0)</f>
        <v>01</v>
      </c>
      <c r="G40" s="23" t="str">
        <f>VLOOKUP(A40,'[1]Global Roaming'!F:Z,21,0)</f>
        <v>Bilateral</v>
      </c>
      <c r="H40" s="23" t="str">
        <f>VLOOKUP(A40,'[1]Global Roaming'!F:L,7,0)</f>
        <v>YES</v>
      </c>
      <c r="I40" s="23" t="str">
        <f>VLOOKUP(A40,'[1]Global Roaming'!F:P,11,0)</f>
        <v>YES</v>
      </c>
      <c r="J40" s="23" t="str">
        <f>VLOOKUP(A40,'[1]Global Roaming'!F:T,15,0)</f>
        <v>YES</v>
      </c>
    </row>
    <row r="41" spans="1:10" customFormat="1" ht="15.75" thickBot="1" x14ac:dyDescent="0.3">
      <c r="A41" s="21" t="s">
        <v>84</v>
      </c>
      <c r="B41" s="201"/>
      <c r="C41" s="85" t="s">
        <v>85</v>
      </c>
      <c r="D41" s="3">
        <v>85</v>
      </c>
      <c r="E41" s="10" t="str">
        <f>VLOOKUP(A41,'[1]Global Roaming'!F:I,3,0)</f>
        <v>604</v>
      </c>
      <c r="F41" s="10" t="str">
        <f>VLOOKUP(A41,'[1]Global Roaming'!F:I,4,0)</f>
        <v>00</v>
      </c>
      <c r="G41" s="24" t="str">
        <f>VLOOKUP(A41,'[1]Global Roaming'!F:Z,21,0)</f>
        <v>Bilateral</v>
      </c>
      <c r="H41" s="24" t="str">
        <f>VLOOKUP(A41,'[1]Global Roaming'!F:L,7,0)</f>
        <v>YES</v>
      </c>
      <c r="I41" s="24" t="str">
        <f>VLOOKUP(A41,'[1]Global Roaming'!F:P,11,0)</f>
        <v>YES</v>
      </c>
      <c r="J41" s="24" t="str">
        <f>VLOOKUP(A41,'[1]Global Roaming'!F:T,15,0)</f>
        <v>YES</v>
      </c>
    </row>
    <row r="42" spans="1:10" customFormat="1" ht="15.75" thickBot="1" x14ac:dyDescent="0.3">
      <c r="A42" s="21" t="s">
        <v>86</v>
      </c>
      <c r="B42" s="208" t="s">
        <v>87</v>
      </c>
      <c r="C42" s="86" t="s">
        <v>88</v>
      </c>
      <c r="D42" s="15" t="s">
        <v>10</v>
      </c>
      <c r="E42" s="8" t="str">
        <f>VLOOKUP(A42,'[1]Global Roaming'!F:I,3,0)</f>
        <v>204</v>
      </c>
      <c r="F42" s="8" t="str">
        <f>VLOOKUP(A42,'[1]Global Roaming'!F:I,4,0)</f>
        <v>16</v>
      </c>
      <c r="G42" s="25" t="str">
        <f>VLOOKUP(A42,'[1]Global Roaming'!F:Z,21,0)</f>
        <v>Bilateral</v>
      </c>
      <c r="H42" s="25" t="str">
        <f>VLOOKUP(A42,'[1]Global Roaming'!F:L,7,0)</f>
        <v>YES</v>
      </c>
      <c r="I42" s="25" t="str">
        <f>VLOOKUP(A42,'[1]Global Roaming'!F:P,11,0)</f>
        <v>N.A</v>
      </c>
      <c r="J42" s="25" t="str">
        <f>VLOOKUP(A42,'[1]Global Roaming'!F:T,15,0)</f>
        <v>YES</v>
      </c>
    </row>
    <row r="43" spans="1:10" customFormat="1" ht="15.75" thickBot="1" x14ac:dyDescent="0.3">
      <c r="A43" s="21" t="s">
        <v>89</v>
      </c>
      <c r="B43" s="208"/>
      <c r="C43" s="84" t="s">
        <v>88</v>
      </c>
      <c r="D43" s="2" t="s">
        <v>10</v>
      </c>
      <c r="E43" s="9" t="str">
        <f>VLOOKUP(A43,'[1]Global Roaming'!F:I,3,0)</f>
        <v>204</v>
      </c>
      <c r="F43" s="9" t="str">
        <f>VLOOKUP(A43,'[1]Global Roaming'!F:I,4,0)</f>
        <v>20</v>
      </c>
      <c r="G43" s="23" t="str">
        <f>VLOOKUP(A43,'[1]Global Roaming'!F:Z,21,0)</f>
        <v>Bilateral</v>
      </c>
      <c r="H43" s="23" t="str">
        <f>VLOOKUP(A43,'[1]Global Roaming'!F:L,7,0)</f>
        <v>N.A</v>
      </c>
      <c r="I43" s="23" t="str">
        <f>VLOOKUP(A43,'[1]Global Roaming'!F:P,11,0)</f>
        <v>N.A</v>
      </c>
      <c r="J43" s="23" t="str">
        <f>VLOOKUP(A43,'[1]Global Roaming'!F:T,15,0)</f>
        <v>N.A</v>
      </c>
    </row>
    <row r="44" spans="1:10" customFormat="1" ht="15.75" thickBot="1" x14ac:dyDescent="0.3">
      <c r="A44" s="21" t="s">
        <v>90</v>
      </c>
      <c r="B44" s="208"/>
      <c r="C44" s="84" t="s">
        <v>91</v>
      </c>
      <c r="D44" s="2">
        <v>10</v>
      </c>
      <c r="E44" s="9" t="str">
        <f>VLOOKUP(A44,'[1]Global Roaming'!F:I,3,0)</f>
        <v>204</v>
      </c>
      <c r="F44" s="9" t="str">
        <f>VLOOKUP(A44,'[1]Global Roaming'!F:I,4,0)</f>
        <v>04</v>
      </c>
      <c r="G44" s="23" t="str">
        <f>VLOOKUP(A44,'[1]Global Roaming'!F:Z,21,0)</f>
        <v>Orange Hub</v>
      </c>
      <c r="H44" s="23" t="str">
        <f>VLOOKUP(A44,'[1]Global Roaming'!F:L,7,0)</f>
        <v>YES</v>
      </c>
      <c r="I44" s="23" t="str">
        <f>VLOOKUP(A44,'[1]Global Roaming'!F:P,11,0)</f>
        <v>Arrêté</v>
      </c>
      <c r="J44" s="23" t="str">
        <f>VLOOKUP(A44,'[1]Global Roaming'!F:T,15,0)</f>
        <v>YES</v>
      </c>
    </row>
    <row r="45" spans="1:10" customFormat="1" ht="15.75" thickBot="1" x14ac:dyDescent="0.3">
      <c r="A45" s="21" t="s">
        <v>92</v>
      </c>
      <c r="B45" s="208"/>
      <c r="C45" s="87" t="s">
        <v>93</v>
      </c>
      <c r="D45" s="5">
        <v>90</v>
      </c>
      <c r="E45" s="13" t="str">
        <f>VLOOKUP(A45,'[1]Global Roaming'!F:I,3,0)</f>
        <v>204</v>
      </c>
      <c r="F45" s="13" t="str">
        <f>VLOOKUP(A45,'[1]Global Roaming'!F:I,4,0)</f>
        <v>08</v>
      </c>
      <c r="G45" s="26" t="str">
        <f>VLOOKUP(A45,'[1]Global Roaming'!F:Z,21,0)</f>
        <v>Bilateral</v>
      </c>
      <c r="H45" s="26" t="str">
        <f>VLOOKUP(A45,'[1]Global Roaming'!F:L,7,0)</f>
        <v>YES</v>
      </c>
      <c r="I45" s="26" t="str">
        <f>VLOOKUP(A45,'[1]Global Roaming'!F:P,11,0)</f>
        <v>Arrêté</v>
      </c>
      <c r="J45" s="26" t="str">
        <f>VLOOKUP(A45,'[1]Global Roaming'!F:T,15,0)</f>
        <v>YES</v>
      </c>
    </row>
    <row r="46" spans="1:10" customFormat="1" ht="15.75" thickBot="1" x14ac:dyDescent="0.3">
      <c r="A46" s="21" t="s">
        <v>94</v>
      </c>
      <c r="B46" s="198" t="s">
        <v>95</v>
      </c>
      <c r="C46" s="83" t="s">
        <v>96</v>
      </c>
      <c r="D46" s="1">
        <v>85</v>
      </c>
      <c r="E46" s="12" t="str">
        <f>VLOOKUP(A46,'[1]Global Roaming'!F:I,3,0)</f>
        <v>260</v>
      </c>
      <c r="F46" s="12" t="str">
        <f>VLOOKUP(A46,'[1]Global Roaming'!F:I,4,0)</f>
        <v>03</v>
      </c>
      <c r="G46" s="22" t="str">
        <f>VLOOKUP(A46,'[1]Global Roaming'!F:Z,21,0)</f>
        <v>Orange Hub</v>
      </c>
      <c r="H46" s="22" t="str">
        <f>VLOOKUP(A46,'[1]Global Roaming'!F:L,7,0)</f>
        <v>YES</v>
      </c>
      <c r="I46" s="22" t="str">
        <f>VLOOKUP(A46,'[1]Global Roaming'!F:P,11,0)</f>
        <v>YES</v>
      </c>
      <c r="J46" s="22" t="str">
        <f>VLOOKUP(A46,'[1]Global Roaming'!F:T,15,0)</f>
        <v>YES</v>
      </c>
    </row>
    <row r="47" spans="1:10" customFormat="1" ht="15.75" thickBot="1" x14ac:dyDescent="0.3">
      <c r="A47" s="21" t="s">
        <v>97</v>
      </c>
      <c r="B47" s="199"/>
      <c r="C47" s="84" t="s">
        <v>98</v>
      </c>
      <c r="D47" s="2" t="s">
        <v>10</v>
      </c>
      <c r="E47" s="9" t="str">
        <f>VLOOKUP(A47,'[1]Global Roaming'!F:I,3,0)</f>
        <v>260</v>
      </c>
      <c r="F47" s="9" t="str">
        <f>VLOOKUP(A47,'[1]Global Roaming'!F:I,4,0)</f>
        <v>02</v>
      </c>
      <c r="G47" s="23" t="str">
        <f>VLOOKUP(A47,'[1]Global Roaming'!F:Z,21,0)</f>
        <v>Bilateral</v>
      </c>
      <c r="H47" s="23" t="str">
        <f>VLOOKUP(A47,'[1]Global Roaming'!F:L,7,0)</f>
        <v>YES</v>
      </c>
      <c r="I47" s="23" t="str">
        <f>VLOOKUP(A47,'[1]Global Roaming'!F:P,11,0)</f>
        <v>YES</v>
      </c>
      <c r="J47" s="23" t="str">
        <f>VLOOKUP(A47,'[1]Global Roaming'!F:T,15,0)</f>
        <v>YES</v>
      </c>
    </row>
    <row r="48" spans="1:10" customFormat="1" ht="15.75" thickBot="1" x14ac:dyDescent="0.3">
      <c r="A48" s="21" t="s">
        <v>99</v>
      </c>
      <c r="B48" s="199"/>
      <c r="C48" s="84" t="s">
        <v>100</v>
      </c>
      <c r="D48" s="2">
        <v>10</v>
      </c>
      <c r="E48" s="9" t="str">
        <f>VLOOKUP(A48,'[1]Global Roaming'!F:I,3,0)</f>
        <v>260</v>
      </c>
      <c r="F48" s="9" t="str">
        <f>VLOOKUP(A48,'[1]Global Roaming'!F:I,4,0)</f>
        <v>01</v>
      </c>
      <c r="G48" s="23" t="str">
        <f>VLOOKUP(A48,'[1]Global Roaming'!F:Z,21,0)</f>
        <v>Bilateral</v>
      </c>
      <c r="H48" s="23" t="str">
        <f>VLOOKUP(A48,'[1]Global Roaming'!F:L,7,0)</f>
        <v>YES</v>
      </c>
      <c r="I48" s="23" t="str">
        <f>VLOOKUP(A48,'[1]Global Roaming'!F:P,11,0)</f>
        <v>YES</v>
      </c>
      <c r="J48" s="23" t="str">
        <f>VLOOKUP(A48,'[1]Global Roaming'!F:T,15,0)</f>
        <v>YES</v>
      </c>
    </row>
    <row r="49" spans="1:10" customFormat="1" ht="15.75" thickBot="1" x14ac:dyDescent="0.3">
      <c r="A49" s="21" t="s">
        <v>101</v>
      </c>
      <c r="B49" s="201"/>
      <c r="C49" s="85" t="s">
        <v>102</v>
      </c>
      <c r="D49" s="3">
        <v>5</v>
      </c>
      <c r="E49" s="10" t="str">
        <f>VLOOKUP(A49,'[1]Global Roaming'!F:I,3,0)</f>
        <v>260</v>
      </c>
      <c r="F49" s="10" t="str">
        <f>VLOOKUP(A49,'[1]Global Roaming'!F:I,4,0)</f>
        <v>06</v>
      </c>
      <c r="G49" s="24" t="str">
        <f>VLOOKUP(A49,'[1]Global Roaming'!F:Z,21,0)</f>
        <v>Bilateral</v>
      </c>
      <c r="H49" s="24" t="str">
        <f>VLOOKUP(A49,'[1]Global Roaming'!F:L,7,0)</f>
        <v>YES</v>
      </c>
      <c r="I49" s="24" t="str">
        <f>VLOOKUP(A49,'[1]Global Roaming'!F:P,11,0)</f>
        <v>YES</v>
      </c>
      <c r="J49" s="24" t="str">
        <f>VLOOKUP(A49,'[1]Global Roaming'!F:T,15,0)</f>
        <v>YES</v>
      </c>
    </row>
    <row r="50" spans="1:10" customFormat="1" ht="15.75" thickBot="1" x14ac:dyDescent="0.3">
      <c r="A50" s="21" t="s">
        <v>103</v>
      </c>
      <c r="B50" s="198" t="s">
        <v>104</v>
      </c>
      <c r="C50" s="83" t="s">
        <v>105</v>
      </c>
      <c r="D50" s="1">
        <v>90</v>
      </c>
      <c r="E50" s="12" t="str">
        <f>VLOOKUP(A50,'[1]Global Roaming'!F:I,3,0)</f>
        <v>268</v>
      </c>
      <c r="F50" s="12" t="str">
        <f>VLOOKUP(A50,'[1]Global Roaming'!F:I,4,0)</f>
        <v>06</v>
      </c>
      <c r="G50" s="22" t="str">
        <f>VLOOKUP(A50,'[1]Global Roaming'!F:Z,21,0)</f>
        <v>Bilateral</v>
      </c>
      <c r="H50" s="22" t="str">
        <f>VLOOKUP(A50,'[1]Global Roaming'!F:L,7,0)</f>
        <v>YES</v>
      </c>
      <c r="I50" s="22" t="str">
        <f>VLOOKUP(A50,'[1]Global Roaming'!F:P,11,0)</f>
        <v>YES</v>
      </c>
      <c r="J50" s="22" t="str">
        <f>VLOOKUP(A50,'[1]Global Roaming'!F:T,15,0)</f>
        <v>YES</v>
      </c>
    </row>
    <row r="51" spans="1:10" customFormat="1" ht="15.75" thickBot="1" x14ac:dyDescent="0.3">
      <c r="A51" s="21" t="s">
        <v>107</v>
      </c>
      <c r="B51" s="199"/>
      <c r="C51" s="84" t="s">
        <v>106</v>
      </c>
      <c r="D51" s="2">
        <v>10</v>
      </c>
      <c r="E51" s="9" t="str">
        <f>VLOOKUP(A51,'[1]Global Roaming'!F:I,3,0)</f>
        <v>268</v>
      </c>
      <c r="F51" s="9" t="str">
        <f>VLOOKUP(A51,'[1]Global Roaming'!F:I,4,0)</f>
        <v>01</v>
      </c>
      <c r="G51" s="23" t="str">
        <f>VLOOKUP(A51,'[1]Global Roaming'!F:Z,21,0)</f>
        <v>Orange Hub</v>
      </c>
      <c r="H51" s="23" t="str">
        <f>VLOOKUP(A51,'[1]Global Roaming'!F:L,7,0)</f>
        <v>YES</v>
      </c>
      <c r="I51" s="23" t="str">
        <f>VLOOKUP(A51,'[1]Global Roaming'!F:P,11,0)</f>
        <v>YES</v>
      </c>
      <c r="J51" s="23" t="str">
        <f>VLOOKUP(A51,'[1]Global Roaming'!F:T,15,0)</f>
        <v>YES</v>
      </c>
    </row>
    <row r="52" spans="1:10" customFormat="1" ht="15.75" thickBot="1" x14ac:dyDescent="0.3">
      <c r="A52" s="39" t="s">
        <v>108</v>
      </c>
      <c r="B52" s="201"/>
      <c r="C52" s="85" t="s">
        <v>109</v>
      </c>
      <c r="D52" s="3" t="s">
        <v>10</v>
      </c>
      <c r="E52" s="10" t="str">
        <f>VLOOKUP(A52,'[1]Global Roaming'!F:I,3,0)</f>
        <v>268</v>
      </c>
      <c r="F52" s="10" t="str">
        <f>VLOOKUP(A52,'[1]Global Roaming'!F:I,4,0)</f>
        <v>03</v>
      </c>
      <c r="G52" s="24" t="str">
        <f>VLOOKUP(A52,'[1]Global Roaming'!F:Z,21,0)</f>
        <v>Orange Hub</v>
      </c>
      <c r="H52" s="24" t="str">
        <f>VLOOKUP(A52,'[1]Global Roaming'!F:L,7,0)</f>
        <v>YES</v>
      </c>
      <c r="I52" s="24" t="str">
        <f>VLOOKUP(A52,'[1]Global Roaming'!F:P,11,0)</f>
        <v>YES</v>
      </c>
      <c r="J52" s="24" t="str">
        <f>VLOOKUP(A52,'[1]Global Roaming'!F:T,15,0)</f>
        <v>YES</v>
      </c>
    </row>
    <row r="53" spans="1:10" customFormat="1" ht="15.75" thickBot="1" x14ac:dyDescent="0.3">
      <c r="A53" s="38" t="s">
        <v>110</v>
      </c>
      <c r="B53" s="209" t="s">
        <v>111</v>
      </c>
      <c r="C53" s="86" t="s">
        <v>112</v>
      </c>
      <c r="D53" s="15">
        <v>90</v>
      </c>
      <c r="E53" s="8" t="str">
        <f>VLOOKUP(A53,'[1]Global Roaming'!F:I,3,0)</f>
        <v>427</v>
      </c>
      <c r="F53" s="8" t="str">
        <f>VLOOKUP(A53,'[1]Global Roaming'!F:I,4,0)</f>
        <v>02</v>
      </c>
      <c r="G53" s="25" t="str">
        <f>VLOOKUP(A53,'[1]Global Roaming'!F:Z,21,0)</f>
        <v>Bilateral</v>
      </c>
      <c r="H53" s="25" t="str">
        <f>VLOOKUP(A53,'[1]Global Roaming'!F:L,7,0)</f>
        <v>YES</v>
      </c>
      <c r="I53" s="25" t="str">
        <f>VLOOKUP(A53,'[1]Global Roaming'!F:P,11,0)</f>
        <v>YES</v>
      </c>
      <c r="J53" s="25" t="str">
        <f>VLOOKUP(A53,'[1]Global Roaming'!F:T,15,0)</f>
        <v>YES</v>
      </c>
    </row>
    <row r="54" spans="1:10" customFormat="1" ht="15.75" thickBot="1" x14ac:dyDescent="0.3">
      <c r="A54" s="21" t="s">
        <v>113</v>
      </c>
      <c r="B54" s="200"/>
      <c r="C54" s="87" t="s">
        <v>114</v>
      </c>
      <c r="D54" s="5">
        <v>10</v>
      </c>
      <c r="E54" s="13" t="str">
        <f>VLOOKUP(A54,'[1]Global Roaming'!F:I,3,0)</f>
        <v>427</v>
      </c>
      <c r="F54" s="13" t="str">
        <f>VLOOKUP(A54,'[1]Global Roaming'!F:I,4,0)</f>
        <v>01</v>
      </c>
      <c r="G54" s="26" t="str">
        <f>VLOOKUP(A54,'[1]Global Roaming'!F:Z,21,0)</f>
        <v>Bilateral</v>
      </c>
      <c r="H54" s="26" t="str">
        <f>VLOOKUP(A54,'[1]Global Roaming'!F:L,7,0)</f>
        <v>YES</v>
      </c>
      <c r="I54" s="26" t="str">
        <f>VLOOKUP(A54,'[1]Global Roaming'!F:P,11,0)</f>
        <v>YES</v>
      </c>
      <c r="J54" s="26" t="str">
        <f>VLOOKUP(A54,'[1]Global Roaming'!F:T,15,0)</f>
        <v>YES</v>
      </c>
    </row>
    <row r="55" spans="1:10" customFormat="1" ht="15.75" thickBot="1" x14ac:dyDescent="0.3">
      <c r="A55" s="21" t="s">
        <v>115</v>
      </c>
      <c r="B55" s="210" t="s">
        <v>116</v>
      </c>
      <c r="C55" s="83" t="s">
        <v>117</v>
      </c>
      <c r="D55" s="1">
        <v>90</v>
      </c>
      <c r="E55" s="12" t="str">
        <f>VLOOKUP(A55,'[1]Global Roaming'!F:I,3,0)</f>
        <v>226</v>
      </c>
      <c r="F55" s="12" t="str">
        <f>VLOOKUP(A55,'[1]Global Roaming'!F:I,4,0)</f>
        <v>10</v>
      </c>
      <c r="G55" s="22" t="str">
        <f>VLOOKUP(A55,'[1]Global Roaming'!F:Z,21,0)</f>
        <v>Bilateral</v>
      </c>
      <c r="H55" s="22" t="str">
        <f>VLOOKUP(A55,'[1]Global Roaming'!F:L,7,0)</f>
        <v>YES</v>
      </c>
      <c r="I55" s="22" t="str">
        <f>VLOOKUP(A55,'[1]Global Roaming'!F:P,11,0)</f>
        <v>YES</v>
      </c>
      <c r="J55" s="22" t="str">
        <f>VLOOKUP(A55,'[1]Global Roaming'!F:T,15,0)</f>
        <v>YES</v>
      </c>
    </row>
    <row r="56" spans="1:10" customFormat="1" ht="15.75" thickBot="1" x14ac:dyDescent="0.3">
      <c r="A56" s="21" t="s">
        <v>118</v>
      </c>
      <c r="B56" s="208"/>
      <c r="C56" s="84" t="s">
        <v>119</v>
      </c>
      <c r="D56" s="2" t="s">
        <v>10</v>
      </c>
      <c r="E56" s="9" t="str">
        <f>VLOOKUP(A56,'[1]Global Roaming'!F:I,3,0)</f>
        <v>226</v>
      </c>
      <c r="F56" s="9" t="str">
        <f>VLOOKUP(A56,'[1]Global Roaming'!F:I,4,0)</f>
        <v>03</v>
      </c>
      <c r="G56" s="23" t="str">
        <f>VLOOKUP(A56,'[1]Global Roaming'!F:Z,21,0)</f>
        <v>Bilateral</v>
      </c>
      <c r="H56" s="23" t="str">
        <f>VLOOKUP(A56,'[1]Global Roaming'!F:L,7,0)</f>
        <v>YES</v>
      </c>
      <c r="I56" s="23" t="str">
        <f>VLOOKUP(A56,'[1]Global Roaming'!F:P,11,0)</f>
        <v>YES</v>
      </c>
      <c r="J56" s="23" t="str">
        <f>VLOOKUP(A56,'[1]Global Roaming'!F:T,15,0)</f>
        <v>YES</v>
      </c>
    </row>
    <row r="57" spans="1:10" customFormat="1" ht="15.75" thickBot="1" x14ac:dyDescent="0.3">
      <c r="A57" s="21" t="s">
        <v>120</v>
      </c>
      <c r="B57" s="208"/>
      <c r="C57" s="84" t="s">
        <v>310</v>
      </c>
      <c r="D57" s="2">
        <v>0</v>
      </c>
      <c r="E57" s="9" t="str">
        <f>VLOOKUP(A57,'[1]Global Roaming'!F:I,3,0)</f>
        <v>226</v>
      </c>
      <c r="F57" s="9" t="str">
        <f>VLOOKUP(A57,'[1]Global Roaming'!F:I,4,0)</f>
        <v>05</v>
      </c>
      <c r="G57" s="23" t="str">
        <f>VLOOKUP(A57,'[1]Global Roaming'!F:Z,21,0)</f>
        <v>Bilateral</v>
      </c>
      <c r="H57" s="23" t="str">
        <f>VLOOKUP(A57,'[1]Global Roaming'!F:L,7,0)</f>
        <v>YES</v>
      </c>
      <c r="I57" s="23" t="str">
        <f>VLOOKUP(A57,'[1]Global Roaming'!F:P,11,0)</f>
        <v>YES</v>
      </c>
      <c r="J57" s="23">
        <f>VLOOKUP(A57,'[1]Global Roaming'!F:T,15,0)</f>
        <v>0</v>
      </c>
    </row>
    <row r="58" spans="1:10" customFormat="1" ht="15.75" thickBot="1" x14ac:dyDescent="0.3">
      <c r="A58" s="21" t="s">
        <v>631</v>
      </c>
      <c r="B58" s="211"/>
      <c r="C58" s="85" t="s">
        <v>121</v>
      </c>
      <c r="D58" s="3">
        <v>10</v>
      </c>
      <c r="E58" s="10" t="str">
        <f>VLOOKUP(A58,'[1]Global Roaming'!F:I,3,0)</f>
        <v>226</v>
      </c>
      <c r="F58" s="10" t="str">
        <f>VLOOKUP(A58,'[1]Global Roaming'!F:I,4,0)</f>
        <v>01</v>
      </c>
      <c r="G58" s="24" t="str">
        <f>VLOOKUP(A58,'[1]Global Roaming'!F:Z,21,0)</f>
        <v>Orange Hub</v>
      </c>
      <c r="H58" s="24" t="str">
        <f>VLOOKUP(A58,'[1]Global Roaming'!F:L,7,0)</f>
        <v>YES</v>
      </c>
      <c r="I58" s="24" t="str">
        <f>VLOOKUP(A58,'[1]Global Roaming'!F:P,11,0)</f>
        <v>YES</v>
      </c>
      <c r="J58" s="24" t="str">
        <f>VLOOKUP(A58,'[1]Global Roaming'!F:T,15,0)</f>
        <v>YES</v>
      </c>
    </row>
    <row r="59" spans="1:10" customFormat="1" ht="15.75" thickBot="1" x14ac:dyDescent="0.3">
      <c r="A59" s="21" t="s">
        <v>122</v>
      </c>
      <c r="B59" s="209" t="s">
        <v>123</v>
      </c>
      <c r="C59" s="88" t="s">
        <v>124</v>
      </c>
      <c r="D59" s="15" t="s">
        <v>10</v>
      </c>
      <c r="E59" s="8" t="str">
        <f>VLOOKUP(A59,'[1]Global Roaming'!F:I,3,0)</f>
        <v>608</v>
      </c>
      <c r="F59" s="8" t="str">
        <f>VLOOKUP(A59,'[1]Global Roaming'!F:I,4,0)</f>
        <v>02</v>
      </c>
      <c r="G59" s="25" t="str">
        <f>VLOOKUP(A59,'[1]Global Roaming'!F:Z,21,0)</f>
        <v>Comfone</v>
      </c>
      <c r="H59" s="25" t="str">
        <f>VLOOKUP(A59,'[1]Global Roaming'!F:L,7,0)</f>
        <v>YES</v>
      </c>
      <c r="I59" s="25" t="str">
        <f>VLOOKUP(A59,'[1]Global Roaming'!F:P,11,0)</f>
        <v>YES</v>
      </c>
      <c r="J59" s="25" t="str">
        <f>VLOOKUP(A59,'[1]Global Roaming'!F:T,15,0)</f>
        <v>YES</v>
      </c>
    </row>
    <row r="60" spans="1:10" customFormat="1" ht="15.75" thickBot="1" x14ac:dyDescent="0.3">
      <c r="A60" s="40" t="s">
        <v>125</v>
      </c>
      <c r="B60" s="200"/>
      <c r="C60" s="87" t="s">
        <v>126</v>
      </c>
      <c r="D60" s="5">
        <v>100</v>
      </c>
      <c r="E60" s="13" t="str">
        <f>VLOOKUP(A60,'[1]Global Roaming'!F:I,3,0)</f>
        <v>608</v>
      </c>
      <c r="F60" s="13" t="str">
        <f>VLOOKUP(A60,'[1]Global Roaming'!F:I,4,0)</f>
        <v>01</v>
      </c>
      <c r="G60" s="26" t="str">
        <f>VLOOKUP(A60,'[1]Global Roaming'!F:Z,21,0)</f>
        <v>Orange Hub</v>
      </c>
      <c r="H60" s="26" t="str">
        <f>VLOOKUP(A60,'[1]Global Roaming'!F:L,7,0)</f>
        <v>YES</v>
      </c>
      <c r="I60" s="26" t="str">
        <f>VLOOKUP(A60,'[1]Global Roaming'!F:P,11,0)</f>
        <v>YES</v>
      </c>
      <c r="J60" s="26" t="str">
        <f>VLOOKUP(A60,'[1]Global Roaming'!F:T,15,0)</f>
        <v>YES</v>
      </c>
    </row>
    <row r="61" spans="1:10" customFormat="1" ht="15.75" thickBot="1" x14ac:dyDescent="0.3">
      <c r="A61" s="21" t="s">
        <v>127</v>
      </c>
      <c r="B61" s="210" t="s">
        <v>128</v>
      </c>
      <c r="C61" s="83" t="s">
        <v>129</v>
      </c>
      <c r="D61" s="1">
        <v>90</v>
      </c>
      <c r="E61" s="12" t="str">
        <f>VLOOKUP(A61,'[1]Global Roaming'!F:I,3,0)</f>
        <v>214</v>
      </c>
      <c r="F61" s="12" t="str">
        <f>VLOOKUP(A61,'[1]Global Roaming'!F:I,4,0)</f>
        <v>03</v>
      </c>
      <c r="G61" s="22" t="str">
        <f>VLOOKUP(A61,'[1]Global Roaming'!F:Z,21,0)</f>
        <v>Orange Hub</v>
      </c>
      <c r="H61" s="22" t="str">
        <f>VLOOKUP(A61,'[1]Global Roaming'!F:L,7,0)</f>
        <v>YES</v>
      </c>
      <c r="I61" s="22" t="str">
        <f>VLOOKUP(A61,'[1]Global Roaming'!F:P,11,0)</f>
        <v>YES</v>
      </c>
      <c r="J61" s="22" t="str">
        <f>VLOOKUP(A61,'[1]Global Roaming'!F:T,15,0)</f>
        <v>YES</v>
      </c>
    </row>
    <row r="62" spans="1:10" customFormat="1" ht="15.75" thickBot="1" x14ac:dyDescent="0.3">
      <c r="A62" s="21" t="s">
        <v>130</v>
      </c>
      <c r="B62" s="208"/>
      <c r="C62" s="84" t="s">
        <v>131</v>
      </c>
      <c r="D62" s="2" t="s">
        <v>10</v>
      </c>
      <c r="E62" s="9" t="str">
        <f>VLOOKUP(A62,'[1]Global Roaming'!F:I,3,0)</f>
        <v>214</v>
      </c>
      <c r="F62" s="9" t="str">
        <f>VLOOKUP(A62,'[1]Global Roaming'!F:I,4,0)</f>
        <v>07</v>
      </c>
      <c r="G62" s="23" t="str">
        <f>VLOOKUP(A62,'[1]Global Roaming'!F:Z,21,0)</f>
        <v>Bilateral</v>
      </c>
      <c r="H62" s="23" t="str">
        <f>VLOOKUP(A62,'[1]Global Roaming'!F:L,7,0)</f>
        <v>YES</v>
      </c>
      <c r="I62" s="23" t="str">
        <f>VLOOKUP(A62,'[1]Global Roaming'!F:P,11,0)</f>
        <v>YES</v>
      </c>
      <c r="J62" s="23" t="str">
        <f>VLOOKUP(A62,'[1]Global Roaming'!F:T,15,0)</f>
        <v>YES</v>
      </c>
    </row>
    <row r="63" spans="1:10" customFormat="1" ht="15.75" thickBot="1" x14ac:dyDescent="0.3">
      <c r="A63" s="21" t="s">
        <v>132</v>
      </c>
      <c r="B63" s="208"/>
      <c r="C63" s="84" t="s">
        <v>133</v>
      </c>
      <c r="D63" s="2">
        <v>0</v>
      </c>
      <c r="E63" s="9" t="str">
        <f>VLOOKUP(A63,'[1]Global Roaming'!F:I,3,0)</f>
        <v>214</v>
      </c>
      <c r="F63" s="9" t="str">
        <f>VLOOKUP(A63,'[1]Global Roaming'!F:I,4,0)</f>
        <v>04</v>
      </c>
      <c r="G63" s="23" t="str">
        <f>VLOOKUP(A63,'[1]Global Roaming'!F:Z,21,0)</f>
        <v>Bilateral</v>
      </c>
      <c r="H63" s="23" t="str">
        <f>VLOOKUP(A63,'[1]Global Roaming'!F:L,7,0)</f>
        <v>YES</v>
      </c>
      <c r="I63" s="23" t="str">
        <f>VLOOKUP(A63,'[1]Global Roaming'!F:P,11,0)</f>
        <v>YES</v>
      </c>
      <c r="J63" s="23" t="str">
        <f>VLOOKUP(A63,'[1]Global Roaming'!F:T,15,0)</f>
        <v>YES</v>
      </c>
    </row>
    <row r="64" spans="1:10" customFormat="1" ht="15.75" thickBot="1" x14ac:dyDescent="0.3">
      <c r="A64" s="21" t="s">
        <v>134</v>
      </c>
      <c r="B64" s="208"/>
      <c r="C64" s="84" t="s">
        <v>135</v>
      </c>
      <c r="D64" s="2">
        <v>10</v>
      </c>
      <c r="E64" s="9" t="str">
        <f>VLOOKUP(A64,'[1]Global Roaming'!F:I,3,0)</f>
        <v>214</v>
      </c>
      <c r="F64" s="9" t="str">
        <f>VLOOKUP(A64,'[1]Global Roaming'!F:I,4,0)</f>
        <v>01</v>
      </c>
      <c r="G64" s="23" t="str">
        <f>VLOOKUP(A64,'[1]Global Roaming'!F:Z,21,0)</f>
        <v>Orange Hub</v>
      </c>
      <c r="H64" s="23" t="str">
        <f>VLOOKUP(A64,'[1]Global Roaming'!F:L,7,0)</f>
        <v>YES</v>
      </c>
      <c r="I64" s="23" t="str">
        <f>VLOOKUP(A64,'[1]Global Roaming'!F:P,11,0)</f>
        <v>YES</v>
      </c>
      <c r="J64" s="23" t="str">
        <f>VLOOKUP(A64,'[1]Global Roaming'!F:T,15,0)</f>
        <v>YES</v>
      </c>
    </row>
    <row r="65" spans="1:10" customFormat="1" ht="15.75" thickBot="1" x14ac:dyDescent="0.3">
      <c r="A65" s="39" t="s">
        <v>309</v>
      </c>
      <c r="B65" s="211"/>
      <c r="C65" s="85" t="s">
        <v>310</v>
      </c>
      <c r="D65" s="3">
        <v>0</v>
      </c>
      <c r="E65" s="10">
        <f>VLOOKUP(A65,'[1]Global Roaming'!F:I,3,0)</f>
        <v>214</v>
      </c>
      <c r="F65" s="10" t="str">
        <f>VLOOKUP(A65,'[1]Global Roaming'!F:I,4,0)</f>
        <v>22</v>
      </c>
      <c r="G65" s="24" t="str">
        <f>VLOOKUP(A65,'[1]Global Roaming'!F:Z,21,0)</f>
        <v>Comfone</v>
      </c>
      <c r="H65" s="24" t="str">
        <f>VLOOKUP(A65,'[1]Global Roaming'!F:L,7,0)</f>
        <v>N.A</v>
      </c>
      <c r="I65" s="24" t="str">
        <f>VLOOKUP(A65,'[1]Global Roaming'!F:P,11,0)</f>
        <v>N.A</v>
      </c>
      <c r="J65" s="24" t="str">
        <f>VLOOKUP(A65,'[1]Global Roaming'!F:T,15,0)</f>
        <v>N.A</v>
      </c>
    </row>
    <row r="66" spans="1:10" customFormat="1" ht="15.75" thickBot="1" x14ac:dyDescent="0.3">
      <c r="A66" s="21" t="s">
        <v>136</v>
      </c>
      <c r="B66" s="198" t="s">
        <v>137</v>
      </c>
      <c r="C66" s="83" t="s">
        <v>138</v>
      </c>
      <c r="D66" s="1" t="s">
        <v>10</v>
      </c>
      <c r="E66" s="12" t="str">
        <f>VLOOKUP(A66,'[1]Global Roaming'!F:I,3,0)</f>
        <v>228</v>
      </c>
      <c r="F66" s="12" t="str">
        <f>VLOOKUP(A66,'[1]Global Roaming'!F:I,4,0)</f>
        <v>03</v>
      </c>
      <c r="G66" s="22" t="str">
        <f>VLOOKUP(A66,'[1]Global Roaming'!F:Z,21,0)</f>
        <v>Orange Hub</v>
      </c>
      <c r="H66" s="22" t="str">
        <f>VLOOKUP(A66,'[1]Global Roaming'!F:L,7,0)</f>
        <v>YES</v>
      </c>
      <c r="I66" s="22" t="str">
        <f>VLOOKUP(A66,'[1]Global Roaming'!F:P,11,0)</f>
        <v>YES</v>
      </c>
      <c r="J66" s="22" t="str">
        <f>VLOOKUP(A66,'[1]Global Roaming'!F:T,15,0)</f>
        <v>YES</v>
      </c>
    </row>
    <row r="67" spans="1:10" customFormat="1" ht="15.75" thickBot="1" x14ac:dyDescent="0.3">
      <c r="A67" s="21" t="s">
        <v>139</v>
      </c>
      <c r="B67" s="199"/>
      <c r="C67" s="84" t="s">
        <v>140</v>
      </c>
      <c r="D67" s="2" t="s">
        <v>43</v>
      </c>
      <c r="E67" s="9" t="str">
        <f>VLOOKUP(A67,'[1]Global Roaming'!F:I,3,0)</f>
        <v>901</v>
      </c>
      <c r="F67" s="9" t="str">
        <f>VLOOKUP(A67,'[1]Global Roaming'!F:I,4,0)</f>
        <v>15</v>
      </c>
      <c r="G67" s="23" t="str">
        <f>VLOOKUP(A67,'[1]Global Roaming'!F:Z,21,0)</f>
        <v>Bilateral</v>
      </c>
      <c r="H67" s="23" t="str">
        <f>VLOOKUP(A67,'[1]Global Roaming'!F:L,7,0)</f>
        <v>YES</v>
      </c>
      <c r="I67" s="23" t="str">
        <f>VLOOKUP(A67,'[1]Global Roaming'!F:P,11,0)</f>
        <v>YES</v>
      </c>
      <c r="J67" s="23">
        <f>VLOOKUP(A67,'[1]Global Roaming'!F:T,15,0)</f>
        <v>0</v>
      </c>
    </row>
    <row r="68" spans="1:10" customFormat="1" ht="15.75" thickBot="1" x14ac:dyDescent="0.3">
      <c r="A68" s="21" t="s">
        <v>141</v>
      </c>
      <c r="B68" s="199"/>
      <c r="C68" s="84" t="s">
        <v>142</v>
      </c>
      <c r="D68" s="2">
        <v>30</v>
      </c>
      <c r="E68" s="9" t="str">
        <f>VLOOKUP(A68,'[1]Global Roaming'!F:I,3,0)</f>
        <v>228</v>
      </c>
      <c r="F68" s="9" t="str">
        <f>VLOOKUP(A68,'[1]Global Roaming'!F:I,4,0)</f>
        <v>01</v>
      </c>
      <c r="G68" s="23" t="str">
        <f>VLOOKUP(A68,'[1]Global Roaming'!F:Z,21,0)</f>
        <v>Bilateral</v>
      </c>
      <c r="H68" s="23" t="str">
        <f>VLOOKUP(A68,'[1]Global Roaming'!F:L,7,0)</f>
        <v>YES</v>
      </c>
      <c r="I68" s="23" t="str">
        <f>VLOOKUP(A68,'[1]Global Roaming'!F:P,11,0)</f>
        <v>YES</v>
      </c>
      <c r="J68" s="23" t="str">
        <f>VLOOKUP(A68,'[1]Global Roaming'!F:T,15,0)</f>
        <v>YES</v>
      </c>
    </row>
    <row r="69" spans="1:10" customFormat="1" ht="15.75" thickBot="1" x14ac:dyDescent="0.3">
      <c r="A69" s="39" t="s">
        <v>143</v>
      </c>
      <c r="B69" s="201"/>
      <c r="C69" s="85" t="s">
        <v>144</v>
      </c>
      <c r="D69" s="3">
        <v>70</v>
      </c>
      <c r="E69" s="10" t="str">
        <f>VLOOKUP(A69,'[1]Global Roaming'!F:I,3,0)</f>
        <v>228</v>
      </c>
      <c r="F69" s="10" t="str">
        <f>VLOOKUP(A69,'[1]Global Roaming'!F:I,4,0)</f>
        <v>02</v>
      </c>
      <c r="G69" s="24" t="str">
        <f>VLOOKUP(A69,'[1]Global Roaming'!F:Z,21,0)</f>
        <v>Bilateral</v>
      </c>
      <c r="H69" s="24" t="str">
        <f>VLOOKUP(A69,'[1]Global Roaming'!F:L,7,0)</f>
        <v>Arrêté</v>
      </c>
      <c r="I69" s="24" t="str">
        <f>VLOOKUP(A69,'[1]Global Roaming'!F:P,11,0)</f>
        <v>YES</v>
      </c>
      <c r="J69" s="24" t="str">
        <f>VLOOKUP(A69,'[1]Global Roaming'!F:T,15,0)</f>
        <v>YES</v>
      </c>
    </row>
    <row r="70" spans="1:10" customFormat="1" ht="15.75" thickBot="1" x14ac:dyDescent="0.3">
      <c r="A70" s="38" t="s">
        <v>145</v>
      </c>
      <c r="B70" s="209" t="s">
        <v>146</v>
      </c>
      <c r="C70" s="86" t="s">
        <v>147</v>
      </c>
      <c r="D70" s="15">
        <v>40</v>
      </c>
      <c r="E70" s="8" t="str">
        <f>VLOOKUP(A70,'[1]Global Roaming'!F:I,3,0)</f>
        <v>286</v>
      </c>
      <c r="F70" s="8" t="str">
        <f>VLOOKUP(A70,'[1]Global Roaming'!F:I,4,0)</f>
        <v>02</v>
      </c>
      <c r="G70" s="25" t="str">
        <f>VLOOKUP(A70,'[1]Global Roaming'!F:Z,21,0)</f>
        <v>Orange Hub</v>
      </c>
      <c r="H70" s="25" t="str">
        <f>VLOOKUP(A70,'[1]Global Roaming'!F:L,7,0)</f>
        <v>YES</v>
      </c>
      <c r="I70" s="25" t="str">
        <f>VLOOKUP(A70,'[1]Global Roaming'!F:P,11,0)</f>
        <v>YES</v>
      </c>
      <c r="J70" s="25" t="str">
        <f>VLOOKUP(A70,'[1]Global Roaming'!F:T,15,0)</f>
        <v>YES</v>
      </c>
    </row>
    <row r="71" spans="1:10" customFormat="1" ht="15.75" thickBot="1" x14ac:dyDescent="0.3">
      <c r="A71" s="21" t="s">
        <v>148</v>
      </c>
      <c r="B71" s="199"/>
      <c r="C71" s="84" t="s">
        <v>149</v>
      </c>
      <c r="D71" s="2">
        <v>10</v>
      </c>
      <c r="E71" s="9">
        <f>VLOOKUP(A71,'[1]Global Roaming'!F:I,3,0)</f>
        <v>286</v>
      </c>
      <c r="F71" s="9" t="str">
        <f>VLOOKUP(A71,'[1]Global Roaming'!F:I,4,0)</f>
        <v>03</v>
      </c>
      <c r="G71" s="23" t="str">
        <f>VLOOKUP(A71,'[1]Global Roaming'!F:Z,21,0)</f>
        <v>Bilateral</v>
      </c>
      <c r="H71" s="23" t="str">
        <f>VLOOKUP(A71,'[1]Global Roaming'!F:L,7,0)</f>
        <v>YES</v>
      </c>
      <c r="I71" s="23" t="str">
        <f>VLOOKUP(A71,'[1]Global Roaming'!F:P,11,0)</f>
        <v>YES</v>
      </c>
      <c r="J71" s="23" t="str">
        <f>VLOOKUP(A71,'[1]Global Roaming'!F:T,15,0)</f>
        <v>YES</v>
      </c>
    </row>
    <row r="72" spans="1:10" customFormat="1" ht="15.75" thickBot="1" x14ac:dyDescent="0.3">
      <c r="A72" s="40" t="s">
        <v>150</v>
      </c>
      <c r="B72" s="200"/>
      <c r="C72" s="173" t="s">
        <v>151</v>
      </c>
      <c r="D72" s="5">
        <v>50</v>
      </c>
      <c r="E72" s="13" t="str">
        <f>VLOOKUP(A72,'[1]Global Roaming'!F:I,3,0)</f>
        <v>286</v>
      </c>
      <c r="F72" s="13" t="str">
        <f>VLOOKUP(A72,'[1]Global Roaming'!F:I,4,0)</f>
        <v>01</v>
      </c>
      <c r="G72" s="26" t="str">
        <f>VLOOKUP(A72,'[1]Global Roaming'!F:Z,21,0)</f>
        <v>Bilateral</v>
      </c>
      <c r="H72" s="26" t="str">
        <f>VLOOKUP(A72,'[1]Global Roaming'!F:L,7,0)</f>
        <v>YES</v>
      </c>
      <c r="I72" s="26" t="str">
        <f>VLOOKUP(A72,'[1]Global Roaming'!F:P,11,0)</f>
        <v>YES</v>
      </c>
      <c r="J72" s="26" t="str">
        <f>VLOOKUP(A72,'[1]Global Roaming'!F:T,15,0)</f>
        <v>YES</v>
      </c>
    </row>
    <row r="73" spans="1:10" customFormat="1" ht="15.75" thickBot="1" x14ac:dyDescent="0.3">
      <c r="A73" s="21" t="s">
        <v>152</v>
      </c>
      <c r="B73" s="198" t="s">
        <v>153</v>
      </c>
      <c r="C73" s="89" t="s">
        <v>154</v>
      </c>
      <c r="D73" s="1">
        <v>100</v>
      </c>
      <c r="E73" s="12" t="str">
        <f>VLOOKUP(A73,'[1]Global Roaming'!F:I,3,0)</f>
        <v>424</v>
      </c>
      <c r="F73" s="12" t="str">
        <f>VLOOKUP(A73,'[1]Global Roaming'!F:I,4,0)</f>
        <v>03</v>
      </c>
      <c r="G73" s="22" t="str">
        <f>VLOOKUP(A73,'[1]Global Roaming'!F:Z,21,0)</f>
        <v>Bilateral</v>
      </c>
      <c r="H73" s="22" t="str">
        <f>VLOOKUP(A73,'[1]Global Roaming'!F:L,7,0)</f>
        <v>YES</v>
      </c>
      <c r="I73" s="22" t="str">
        <f>VLOOKUP(A73,'[1]Global Roaming'!F:P,11,0)</f>
        <v>YES</v>
      </c>
      <c r="J73" s="22" t="str">
        <f>VLOOKUP(A73,'[1]Global Roaming'!F:T,15,0)</f>
        <v>YES</v>
      </c>
    </row>
    <row r="74" spans="1:10" customFormat="1" ht="15.75" thickBot="1" x14ac:dyDescent="0.3">
      <c r="A74" s="21" t="s">
        <v>155</v>
      </c>
      <c r="B74" s="199"/>
      <c r="C74" s="84" t="s">
        <v>156</v>
      </c>
      <c r="D74" s="2" t="s">
        <v>43</v>
      </c>
      <c r="E74" s="9" t="str">
        <f>VLOOKUP(A74,'[1]Global Roaming'!F:I,3,0)</f>
        <v>901</v>
      </c>
      <c r="F74" s="9" t="str">
        <f>VLOOKUP(A74,'[1]Global Roaming'!F:I,4,0)</f>
        <v>05</v>
      </c>
      <c r="G74" s="23" t="str">
        <f>VLOOKUP(A74,'[1]Global Roaming'!F:Z,21,0)</f>
        <v>Bilateral</v>
      </c>
      <c r="H74" s="23" t="str">
        <f>VLOOKUP(A74,'[1]Global Roaming'!F:L,7,0)</f>
        <v>YES</v>
      </c>
      <c r="I74" s="23" t="str">
        <f>VLOOKUP(A74,'[1]Global Roaming'!F:P,11,0)</f>
        <v>YES</v>
      </c>
      <c r="J74" s="23">
        <f>VLOOKUP(A74,'[1]Global Roaming'!F:T,15,0)</f>
        <v>0</v>
      </c>
    </row>
    <row r="75" spans="1:10" customFormat="1" ht="15.75" thickBot="1" x14ac:dyDescent="0.3">
      <c r="A75" s="40" t="s">
        <v>157</v>
      </c>
      <c r="B75" s="200"/>
      <c r="C75" s="93" t="s">
        <v>158</v>
      </c>
      <c r="D75" s="5" t="s">
        <v>10</v>
      </c>
      <c r="E75" s="13" t="str">
        <f>VLOOKUP(A75,'[1]Global Roaming'!F:I,3,0)</f>
        <v>424</v>
      </c>
      <c r="F75" s="13" t="str">
        <f>VLOOKUP(A75,'[1]Global Roaming'!F:I,4,0)</f>
        <v>02</v>
      </c>
      <c r="G75" s="26" t="str">
        <f>VLOOKUP(A75,'[1]Global Roaming'!F:Z,21,0)</f>
        <v>Bilateral</v>
      </c>
      <c r="H75" s="26" t="str">
        <f>VLOOKUP(A75,'[1]Global Roaming'!F:L,7,0)</f>
        <v>YES</v>
      </c>
      <c r="I75" s="26" t="str">
        <f>VLOOKUP(A75,'[1]Global Roaming'!F:P,11,0)</f>
        <v>YES</v>
      </c>
      <c r="J75" s="26" t="str">
        <f>VLOOKUP(A75,'[1]Global Roaming'!F:T,15,0)</f>
        <v>YES</v>
      </c>
    </row>
    <row r="76" spans="1:10" customFormat="1" x14ac:dyDescent="0.25">
      <c r="A76" s="21" t="s">
        <v>159</v>
      </c>
      <c r="B76" s="198" t="s">
        <v>160</v>
      </c>
      <c r="C76" s="89" t="s">
        <v>347</v>
      </c>
      <c r="D76" s="44" t="s">
        <v>10</v>
      </c>
      <c r="E76" s="43" t="str">
        <f>VLOOKUP(A76,'[1]Global Roaming'!F:I,3,0)</f>
        <v>234</v>
      </c>
      <c r="F76" s="43" t="str">
        <f>VLOOKUP(A76,'[1]Global Roaming'!F:I,4,0)</f>
        <v>33</v>
      </c>
      <c r="G76" s="44" t="str">
        <f>VLOOKUP(A76,'[1]Global Roaming'!F:Z,21,0)</f>
        <v>Bilateral</v>
      </c>
      <c r="H76" s="44" t="str">
        <f>VLOOKUP(A76,'[1]Global Roaming'!F:L,7,0)</f>
        <v>YES</v>
      </c>
      <c r="I76" s="44" t="str">
        <f>VLOOKUP(A76,'[1]Global Roaming'!F:P,11,0)</f>
        <v>YES</v>
      </c>
      <c r="J76" s="1">
        <f>VLOOKUP(A76,'[1]Global Roaming'!F:T,15,0)</f>
        <v>0</v>
      </c>
    </row>
    <row r="77" spans="1:10" customFormat="1" x14ac:dyDescent="0.25">
      <c r="A77" s="49" t="s">
        <v>164</v>
      </c>
      <c r="B77" s="199"/>
      <c r="C77" s="92" t="s">
        <v>347</v>
      </c>
      <c r="D77" s="42" t="s">
        <v>10</v>
      </c>
      <c r="E77" s="41" t="str">
        <f>VLOOKUP(A77,'[1]Global Roaming'!F:I,3,0)</f>
        <v>234</v>
      </c>
      <c r="F77" s="41" t="str">
        <f>VLOOKUP(A77,'[1]Global Roaming'!F:I,4,0)</f>
        <v>30</v>
      </c>
      <c r="G77" s="42" t="str">
        <f>VLOOKUP(A77,'[1]Global Roaming'!F:Z,21,0)</f>
        <v>Bilateral</v>
      </c>
      <c r="H77" s="42" t="str">
        <f>VLOOKUP(A77,'[1]Global Roaming'!F:L,7,0)</f>
        <v>YES</v>
      </c>
      <c r="I77" s="42" t="str">
        <f>VLOOKUP(A77,'[1]Global Roaming'!F:P,11,0)</f>
        <v>YES</v>
      </c>
      <c r="J77" s="2" t="str">
        <f>VLOOKUP(A77,'[1]Global Roaming'!F:T,15,0)</f>
        <v>YES</v>
      </c>
    </row>
    <row r="78" spans="1:10" customFormat="1" x14ac:dyDescent="0.25">
      <c r="A78" s="49" t="s">
        <v>163</v>
      </c>
      <c r="B78" s="199"/>
      <c r="C78" s="92" t="s">
        <v>348</v>
      </c>
      <c r="D78" s="42">
        <v>20</v>
      </c>
      <c r="E78" s="41" t="str">
        <f>VLOOKUP(A78,'[1]Global Roaming'!F:I,3,0)</f>
        <v>234</v>
      </c>
      <c r="F78" s="41" t="str">
        <f>VLOOKUP(A78,'[1]Global Roaming'!F:I,4,0)</f>
        <v>20</v>
      </c>
      <c r="G78" s="42" t="str">
        <f>VLOOKUP(A78,'[1]Global Roaming'!F:Z,21,0)</f>
        <v>Comfone</v>
      </c>
      <c r="H78" s="42" t="str">
        <f>VLOOKUP(A78,'[1]Global Roaming'!F:L,7,0)</f>
        <v>YES</v>
      </c>
      <c r="I78" s="42" t="str">
        <f>VLOOKUP(A78,'[1]Global Roaming'!F:P,11,0)</f>
        <v>YES</v>
      </c>
      <c r="J78" s="2" t="str">
        <f>VLOOKUP(A78,'[1]Global Roaming'!F:T,15,0)</f>
        <v>YES</v>
      </c>
    </row>
    <row r="79" spans="1:10" customFormat="1" x14ac:dyDescent="0.25">
      <c r="A79" s="49" t="s">
        <v>161</v>
      </c>
      <c r="B79" s="199"/>
      <c r="C79" s="92" t="s">
        <v>349</v>
      </c>
      <c r="D79" s="42">
        <v>0</v>
      </c>
      <c r="E79" s="41" t="str">
        <f>VLOOKUP(A79,'[1]Global Roaming'!F:I,3,0)</f>
        <v>234</v>
      </c>
      <c r="F79" s="41" t="str">
        <f>VLOOKUP(A79,'[1]Global Roaming'!F:I,4,0)</f>
        <v>10</v>
      </c>
      <c r="G79" s="42" t="str">
        <f>VLOOKUP(A79,'[1]Global Roaming'!F:Z,21,0)</f>
        <v>Bilateral</v>
      </c>
      <c r="H79" s="42" t="str">
        <f>VLOOKUP(A79,'[1]Global Roaming'!F:L,7,0)</f>
        <v>YES</v>
      </c>
      <c r="I79" s="42" t="str">
        <f>VLOOKUP(A79,'[1]Global Roaming'!F:P,11,0)</f>
        <v>YES</v>
      </c>
      <c r="J79" s="2" t="str">
        <f>VLOOKUP(A79,'[1]Global Roaming'!F:T,15,0)</f>
        <v>YES</v>
      </c>
    </row>
    <row r="80" spans="1:10" customFormat="1" x14ac:dyDescent="0.25">
      <c r="A80" s="49" t="s">
        <v>162</v>
      </c>
      <c r="B80" s="199"/>
      <c r="C80" s="92" t="s">
        <v>350</v>
      </c>
      <c r="D80" s="42">
        <v>80</v>
      </c>
      <c r="E80" s="41" t="str">
        <f>VLOOKUP(A80,'[1]Global Roaming'!F:I,3,0)</f>
        <v>234</v>
      </c>
      <c r="F80" s="41" t="str">
        <f>VLOOKUP(A80,'[1]Global Roaming'!F:I,4,0)</f>
        <v>15</v>
      </c>
      <c r="G80" s="42" t="str">
        <f>VLOOKUP(A80,'[1]Global Roaming'!F:Z,21,0)</f>
        <v>Orange Hub</v>
      </c>
      <c r="H80" s="42" t="str">
        <f>VLOOKUP(A80,'[1]Global Roaming'!F:L,7,0)</f>
        <v>YES</v>
      </c>
      <c r="I80" s="42" t="str">
        <f>VLOOKUP(A80,'[1]Global Roaming'!F:P,11,0)</f>
        <v>YES</v>
      </c>
      <c r="J80" s="2" t="str">
        <f>VLOOKUP(A80,'[1]Global Roaming'!F:T,15,0)</f>
        <v>YES</v>
      </c>
    </row>
    <row r="81" spans="1:10" customFormat="1" x14ac:dyDescent="0.25">
      <c r="A81" s="127" t="s">
        <v>655</v>
      </c>
      <c r="B81" s="199"/>
      <c r="C81" s="92" t="s">
        <v>658</v>
      </c>
      <c r="D81" s="42" t="s">
        <v>43</v>
      </c>
      <c r="E81" s="41" t="str">
        <f>VLOOKUP(A81,'[1]Global Roaming'!F:I,3,0)</f>
        <v>234</v>
      </c>
      <c r="F81" s="41" t="str">
        <f>VLOOKUP(A81,'[1]Global Roaming'!F:I,4,0)</f>
        <v>50</v>
      </c>
      <c r="G81" s="42" t="str">
        <f>VLOOKUP(A81,'[1]Global Roaming'!F:Z,21,0)</f>
        <v>Bilateral</v>
      </c>
      <c r="H81" s="42" t="str">
        <f>VLOOKUP(A81,'[1]Global Roaming'!F:L,7,0)</f>
        <v>YES</v>
      </c>
      <c r="I81" s="42" t="str">
        <f>VLOOKUP(A81,'[1]Global Roaming'!F:P,11,0)</f>
        <v>YES</v>
      </c>
      <c r="J81" s="2">
        <f>VLOOKUP(A81,'[1]Global Roaming'!F:T,15,0)</f>
        <v>0</v>
      </c>
    </row>
    <row r="82" spans="1:10" customFormat="1" x14ac:dyDescent="0.25">
      <c r="A82" s="127" t="s">
        <v>656</v>
      </c>
      <c r="B82" s="199"/>
      <c r="C82" s="121" t="s">
        <v>659</v>
      </c>
      <c r="D82" s="42" t="s">
        <v>43</v>
      </c>
      <c r="E82" s="41" t="str">
        <f>VLOOKUP(A82,'[1]Global Roaming'!F:I,3,0)</f>
        <v>234</v>
      </c>
      <c r="F82" s="41" t="str">
        <f>VLOOKUP(A82,'[1]Global Roaming'!F:I,4,0)</f>
        <v>58</v>
      </c>
      <c r="G82" s="42" t="str">
        <f>VLOOKUP(A82,'[1]Global Roaming'!F:Z,21,0)</f>
        <v>Comfone</v>
      </c>
      <c r="H82" s="42" t="str">
        <f>VLOOKUP(A82,'[1]Global Roaming'!F:L,7,0)</f>
        <v>YES</v>
      </c>
      <c r="I82" s="42" t="str">
        <f>VLOOKUP(A82,'[1]Global Roaming'!F:P,11,0)</f>
        <v>YES</v>
      </c>
      <c r="J82" s="2" t="str">
        <f>VLOOKUP(A82,'[1]Global Roaming'!F:T,15,0)</f>
        <v>YES</v>
      </c>
    </row>
    <row r="83" spans="1:10" customFormat="1" ht="15.75" thickBot="1" x14ac:dyDescent="0.3">
      <c r="A83" s="128" t="s">
        <v>657</v>
      </c>
      <c r="B83" s="201"/>
      <c r="C83" s="122" t="s">
        <v>660</v>
      </c>
      <c r="D83" s="67" t="s">
        <v>43</v>
      </c>
      <c r="E83" s="68" t="str">
        <f>VLOOKUP(A83,'[1]Global Roaming'!F:I,3,0)</f>
        <v>234</v>
      </c>
      <c r="F83" s="68" t="str">
        <f>VLOOKUP(A83,'[1]Global Roaming'!F:I,4,0)</f>
        <v>55</v>
      </c>
      <c r="G83" s="67" t="str">
        <f>VLOOKUP(A83,'[1]Global Roaming'!F:Z,21,0)</f>
        <v>Comfone</v>
      </c>
      <c r="H83" s="67" t="str">
        <f>VLOOKUP(A83,'[1]Global Roaming'!F:L,7,0)</f>
        <v>YES</v>
      </c>
      <c r="I83" s="67" t="str">
        <f>VLOOKUP(A83,'[1]Global Roaming'!F:P,11,0)</f>
        <v>YES</v>
      </c>
      <c r="J83" s="3" t="str">
        <f>VLOOKUP(A83,'[1]Global Roaming'!F:T,15,0)</f>
        <v>YES</v>
      </c>
    </row>
    <row r="84" spans="1:10" customFormat="1" ht="15.75" thickBot="1" x14ac:dyDescent="0.3">
      <c r="A84" s="38" t="s">
        <v>292</v>
      </c>
      <c r="B84" s="208" t="s">
        <v>166</v>
      </c>
      <c r="C84" s="86" t="s">
        <v>297</v>
      </c>
      <c r="D84" s="15">
        <v>100</v>
      </c>
      <c r="E84" s="8" t="str">
        <f>VLOOKUP(A84,'[1]Global Roaming'!F:I,3,0)</f>
        <v>310</v>
      </c>
      <c r="F84" s="8" t="str">
        <f>VLOOKUP(A84,'[1]Global Roaming'!F:I,4,0)</f>
        <v>490</v>
      </c>
      <c r="G84" s="25" t="str">
        <f>VLOOKUP(A84,'[1]Global Roaming'!F:Z,21,0)</f>
        <v>Bilateral</v>
      </c>
      <c r="H84" s="25" t="str">
        <f>VLOOKUP(A84,'[1]Global Roaming'!F:L,7,0)</f>
        <v>YES</v>
      </c>
      <c r="I84" s="25" t="str">
        <f>VLOOKUP(A84,'[1]Global Roaming'!F:P,11,0)</f>
        <v>Arrêté</v>
      </c>
      <c r="J84" s="25" t="str">
        <f>VLOOKUP(A84,'[1]Global Roaming'!F:T,15,0)</f>
        <v>YES</v>
      </c>
    </row>
    <row r="85" spans="1:10" customFormat="1" ht="15.75" thickBot="1" x14ac:dyDescent="0.3">
      <c r="A85" s="21" t="s">
        <v>165</v>
      </c>
      <c r="B85" s="208"/>
      <c r="C85" s="84" t="s">
        <v>298</v>
      </c>
      <c r="D85" s="2" t="s">
        <v>10</v>
      </c>
      <c r="E85" s="9" t="str">
        <f>VLOOKUP(A85,'[1]Global Roaming'!F:I,3,0)</f>
        <v>310</v>
      </c>
      <c r="F85" s="9" t="str">
        <f>VLOOKUP(A85,'[1]Global Roaming'!F:I,4,0)</f>
        <v>410</v>
      </c>
      <c r="G85" s="23" t="str">
        <f>VLOOKUP(A85,'[1]Global Roaming'!F:Z,21,0)</f>
        <v>Bilateral</v>
      </c>
      <c r="H85" s="23" t="str">
        <f>VLOOKUP(A85,'[1]Global Roaming'!F:L,7,0)</f>
        <v>Arrêté</v>
      </c>
      <c r="I85" s="23" t="str">
        <f>VLOOKUP(A85,'[1]Global Roaming'!F:P,11,0)</f>
        <v>Arrêté</v>
      </c>
      <c r="J85" s="23">
        <f>VLOOKUP(A85,'[1]Global Roaming'!F:T,15,0)</f>
        <v>0</v>
      </c>
    </row>
    <row r="86" spans="1:10" customFormat="1" ht="15.75" thickBot="1" x14ac:dyDescent="0.3">
      <c r="A86" s="21" t="s">
        <v>293</v>
      </c>
      <c r="B86" s="208"/>
      <c r="C86" s="84" t="s">
        <v>299</v>
      </c>
      <c r="D86" s="2">
        <v>0</v>
      </c>
      <c r="E86" s="9">
        <f>VLOOKUP(A86,'[1]Global Roaming'!F:I,3,0)</f>
        <v>901</v>
      </c>
      <c r="F86" s="9" t="str">
        <f>VLOOKUP(A86,'[1]Global Roaming'!F:I,4,0)</f>
        <v>18</v>
      </c>
      <c r="G86" s="23" t="str">
        <f>VLOOKUP(A86,'[1]Global Roaming'!F:Z,21,0)</f>
        <v>Comfone</v>
      </c>
      <c r="H86" s="23" t="str">
        <f>VLOOKUP(A86,'[1]Global Roaming'!F:L,7,0)</f>
        <v>YES</v>
      </c>
      <c r="I86" s="23" t="str">
        <f>VLOOKUP(A86,'[1]Global Roaming'!F:P,11,0)</f>
        <v>YES</v>
      </c>
      <c r="J86" s="23" t="str">
        <f>VLOOKUP(A86,'[1]Global Roaming'!F:T,15,0)</f>
        <v>YES</v>
      </c>
    </row>
    <row r="87" spans="1:10" customFormat="1" ht="15.75" thickBot="1" x14ac:dyDescent="0.3">
      <c r="A87" s="21" t="s">
        <v>294</v>
      </c>
      <c r="B87" s="208"/>
      <c r="C87" s="84" t="s">
        <v>300</v>
      </c>
      <c r="D87" s="2" t="s">
        <v>43</v>
      </c>
      <c r="E87" s="9" t="str">
        <f>VLOOKUP(A87,'[1]Global Roaming'!F:I,3,0)</f>
        <v>310</v>
      </c>
      <c r="F87" s="9" t="str">
        <f>VLOOKUP(A87,'[1]Global Roaming'!F:I,4,0)</f>
        <v>020</v>
      </c>
      <c r="G87" s="23" t="str">
        <f>VLOOKUP(A87,'[1]Global Roaming'!F:Z,21,0)</f>
        <v>Comfone</v>
      </c>
      <c r="H87" s="23" t="str">
        <f>VLOOKUP(A87,'[1]Global Roaming'!F:L,7,0)</f>
        <v>YES</v>
      </c>
      <c r="I87" s="23" t="str">
        <f>VLOOKUP(A87,'[1]Global Roaming'!F:P,11,0)</f>
        <v>YES</v>
      </c>
      <c r="J87" s="23" t="str">
        <f>VLOOKUP(A87,'[1]Global Roaming'!F:T,15,0)</f>
        <v>YES</v>
      </c>
    </row>
    <row r="88" spans="1:10" customFormat="1" ht="15.75" thickBot="1" x14ac:dyDescent="0.3">
      <c r="A88" s="21" t="s">
        <v>295</v>
      </c>
      <c r="B88" s="208"/>
      <c r="C88" s="84" t="s">
        <v>301</v>
      </c>
      <c r="D88" s="2" t="s">
        <v>43</v>
      </c>
      <c r="E88" s="9" t="str">
        <f>VLOOKUP(A88,'[1]Global Roaming'!F:I,3,0)</f>
        <v>311</v>
      </c>
      <c r="F88" s="9" t="str">
        <f>VLOOKUP(A88,'[1]Global Roaming'!F:I,4,0)</f>
        <v>530</v>
      </c>
      <c r="G88" s="23" t="str">
        <f>VLOOKUP(A88,'[1]Global Roaming'!F:Z,21,0)</f>
        <v>Comfone</v>
      </c>
      <c r="H88" s="23" t="str">
        <f>VLOOKUP(A88,'[1]Global Roaming'!F:L,7,0)</f>
        <v>YES</v>
      </c>
      <c r="I88" s="23" t="str">
        <f>VLOOKUP(A88,'[1]Global Roaming'!F:P,11,0)</f>
        <v>YES</v>
      </c>
      <c r="J88" s="23">
        <f>VLOOKUP(A88,'[1]Global Roaming'!F:T,15,0)</f>
        <v>0</v>
      </c>
    </row>
    <row r="89" spans="1:10" customFormat="1" ht="15.75" thickBot="1" x14ac:dyDescent="0.3">
      <c r="A89" s="39" t="s">
        <v>296</v>
      </c>
      <c r="B89" s="211"/>
      <c r="C89" s="85" t="s">
        <v>302</v>
      </c>
      <c r="D89" s="3" t="s">
        <v>43</v>
      </c>
      <c r="E89" s="10" t="str">
        <f>VLOOKUP(A89,'[1]Global Roaming'!F:I,3,0)</f>
        <v>311</v>
      </c>
      <c r="F89" s="10" t="str">
        <f>VLOOKUP(A89,'[1]Global Roaming'!F:I,4,0)</f>
        <v>320</v>
      </c>
      <c r="G89" s="24" t="str">
        <f>VLOOKUP(A89,'[1]Global Roaming'!F:Z,21,0)</f>
        <v>Comfone</v>
      </c>
      <c r="H89" s="24" t="str">
        <f>VLOOKUP(A89,'[1]Global Roaming'!F:L,7,0)</f>
        <v>YES</v>
      </c>
      <c r="I89" s="24" t="str">
        <f>VLOOKUP(A89,'[1]Global Roaming'!F:P,11,0)</f>
        <v>YES</v>
      </c>
      <c r="J89" s="24" t="str">
        <f>VLOOKUP(A89,'[1]Global Roaming'!F:T,15,0)</f>
        <v>YES</v>
      </c>
    </row>
    <row r="90" spans="1:10" customFormat="1" ht="15.75" thickBot="1" x14ac:dyDescent="0.3">
      <c r="A90" s="38" t="s">
        <v>167</v>
      </c>
      <c r="B90" s="209" t="s">
        <v>168</v>
      </c>
      <c r="C90" s="86" t="s">
        <v>169</v>
      </c>
      <c r="D90" s="15">
        <v>90</v>
      </c>
      <c r="E90" s="8" t="str">
        <f>VLOOKUP(A90,'[1]Global Roaming'!F:I,3,0)</f>
        <v>231</v>
      </c>
      <c r="F90" s="8" t="str">
        <f>VLOOKUP(A90,'[1]Global Roaming'!F:I,4,0)</f>
        <v>01</v>
      </c>
      <c r="G90" s="25" t="str">
        <f>VLOOKUP(A90,'[1]Global Roaming'!F:Z,21,0)</f>
        <v>Orange Hub</v>
      </c>
      <c r="H90" s="25" t="str">
        <f>VLOOKUP(A90,'[1]Global Roaming'!F:L,7,0)</f>
        <v>YES</v>
      </c>
      <c r="I90" s="25" t="str">
        <f>VLOOKUP(A90,'[1]Global Roaming'!F:P,11,0)</f>
        <v>YES</v>
      </c>
      <c r="J90" s="25" t="str">
        <f>VLOOKUP(A90,'[1]Global Roaming'!F:T,15,0)</f>
        <v>YES</v>
      </c>
    </row>
    <row r="91" spans="1:10" customFormat="1" ht="15.75" thickBot="1" x14ac:dyDescent="0.3">
      <c r="A91" s="21" t="s">
        <v>170</v>
      </c>
      <c r="B91" s="199"/>
      <c r="C91" s="84" t="s">
        <v>171</v>
      </c>
      <c r="D91" s="2">
        <v>10</v>
      </c>
      <c r="E91" s="9" t="str">
        <f>VLOOKUP(A91,'[1]Global Roaming'!F:I,3,0)</f>
        <v>231</v>
      </c>
      <c r="F91" s="9" t="str">
        <f>VLOOKUP(A91,'[1]Global Roaming'!F:I,4,0)</f>
        <v>06</v>
      </c>
      <c r="G91" s="23" t="str">
        <f>VLOOKUP(A91,'[1]Global Roaming'!F:Z,21,0)</f>
        <v>Bilateral</v>
      </c>
      <c r="H91" s="23" t="str">
        <f>VLOOKUP(A91,'[1]Global Roaming'!F:L,7,0)</f>
        <v>YES</v>
      </c>
      <c r="I91" s="23" t="str">
        <f>VLOOKUP(A91,'[1]Global Roaming'!F:P,11,0)</f>
        <v>YES</v>
      </c>
      <c r="J91" s="23">
        <f>VLOOKUP(A91,'[1]Global Roaming'!F:T,15,0)</f>
        <v>0</v>
      </c>
    </row>
    <row r="92" spans="1:10" customFormat="1" ht="15.75" thickBot="1" x14ac:dyDescent="0.3">
      <c r="A92" s="40" t="s">
        <v>172</v>
      </c>
      <c r="B92" s="200"/>
      <c r="C92" s="87" t="s">
        <v>173</v>
      </c>
      <c r="D92" s="5" t="s">
        <v>10</v>
      </c>
      <c r="E92" s="13" t="str">
        <f>VLOOKUP(A92,'[1]Global Roaming'!F:I,3,0)</f>
        <v>231</v>
      </c>
      <c r="F92" s="13" t="str">
        <f>VLOOKUP(A92,'[1]Global Roaming'!F:I,4,0)</f>
        <v>02</v>
      </c>
      <c r="G92" s="26" t="str">
        <f>VLOOKUP(A92,'[1]Global Roaming'!F:Z,21,0)</f>
        <v>Bilateral</v>
      </c>
      <c r="H92" s="26" t="str">
        <f>VLOOKUP(A92,'[1]Global Roaming'!F:L,7,0)</f>
        <v>YES</v>
      </c>
      <c r="I92" s="26" t="str">
        <f>VLOOKUP(A92,'[1]Global Roaming'!F:P,11,0)</f>
        <v>YES</v>
      </c>
      <c r="J92" s="26" t="str">
        <f>VLOOKUP(A92,'[1]Global Roaming'!F:T,15,0)</f>
        <v>YES</v>
      </c>
    </row>
    <row r="93" spans="1:10" customFormat="1" x14ac:dyDescent="0.25">
      <c r="A93" s="21" t="s">
        <v>174</v>
      </c>
      <c r="B93" s="198" t="s">
        <v>175</v>
      </c>
      <c r="C93" s="83" t="s">
        <v>169</v>
      </c>
      <c r="D93" s="44">
        <v>90</v>
      </c>
      <c r="E93" s="47" t="str">
        <f>VLOOKUP(A93,'[1]Global Roaming'!F:I,3,0)</f>
        <v>270</v>
      </c>
      <c r="F93" s="47" t="str">
        <f>VLOOKUP(A93,'[1]Global Roaming'!F:I,4,0)</f>
        <v>99</v>
      </c>
      <c r="G93" s="48" t="str">
        <f>VLOOKUP(A93,'[1]Global Roaming'!F:Z,21,0)</f>
        <v>Bilateral</v>
      </c>
      <c r="H93" s="48" t="str">
        <f>VLOOKUP(A93,'[1]Global Roaming'!F:L,7,0)</f>
        <v>YES</v>
      </c>
      <c r="I93" s="48" t="str">
        <f>VLOOKUP(A93,'[1]Global Roaming'!F:P,11,0)</f>
        <v>YES</v>
      </c>
      <c r="J93" s="22" t="str">
        <f>VLOOKUP(A93,'[1]Global Roaming'!F:T,15,0)</f>
        <v>YES</v>
      </c>
    </row>
    <row r="94" spans="1:10" customFormat="1" x14ac:dyDescent="0.25">
      <c r="A94" s="49" t="s">
        <v>176</v>
      </c>
      <c r="B94" s="199"/>
      <c r="C94" s="84" t="s">
        <v>177</v>
      </c>
      <c r="D94" s="42" t="s">
        <v>10</v>
      </c>
      <c r="E94" s="45" t="str">
        <f>VLOOKUP(A94,'[1]Global Roaming'!F:I,3,0)</f>
        <v>270</v>
      </c>
      <c r="F94" s="45" t="str">
        <f>VLOOKUP(A94,'[1]Global Roaming'!F:I,4,0)</f>
        <v>01</v>
      </c>
      <c r="G94" s="46" t="str">
        <f>VLOOKUP(A94,'[1]Global Roaming'!F:Z,21,0)</f>
        <v>Comfone</v>
      </c>
      <c r="H94" s="46" t="str">
        <f>VLOOKUP(A94,'[1]Global Roaming'!F:L,7,0)</f>
        <v>YES</v>
      </c>
      <c r="I94" s="46" t="str">
        <f>VLOOKUP(A94,'[1]Global Roaming'!F:P,11,0)</f>
        <v>Arrêté</v>
      </c>
      <c r="J94" s="23" t="str">
        <f>VLOOKUP(A94,'[1]Global Roaming'!F:T,15,0)</f>
        <v>YES</v>
      </c>
    </row>
    <row r="95" spans="1:10" customFormat="1" ht="15.75" thickBot="1" x14ac:dyDescent="0.3">
      <c r="A95" s="50" t="s">
        <v>178</v>
      </c>
      <c r="B95" s="201"/>
      <c r="C95" s="85" t="s">
        <v>179</v>
      </c>
      <c r="D95" s="67">
        <v>10</v>
      </c>
      <c r="E95" s="51" t="str">
        <f>VLOOKUP(A95,'[1]Global Roaming'!F:I,3,0)</f>
        <v>270</v>
      </c>
      <c r="F95" s="51" t="str">
        <f>VLOOKUP(A95,'[1]Global Roaming'!F:I,4,0)</f>
        <v>77</v>
      </c>
      <c r="G95" s="52" t="str">
        <f>VLOOKUP(A95,'[1]Global Roaming'!F:Z,21,0)</f>
        <v>Bilateral</v>
      </c>
      <c r="H95" s="52" t="str">
        <f>VLOOKUP(A95,'[1]Global Roaming'!F:L,7,0)</f>
        <v>YES</v>
      </c>
      <c r="I95" s="52" t="str">
        <f>VLOOKUP(A95,'[1]Global Roaming'!F:P,11,0)</f>
        <v>YES</v>
      </c>
      <c r="J95" s="24" t="str">
        <f>VLOOKUP(A95,'[1]Global Roaming'!F:T,15,0)</f>
        <v>YES</v>
      </c>
    </row>
    <row r="96" spans="1:10" customFormat="1" x14ac:dyDescent="0.25">
      <c r="A96" s="61" t="s">
        <v>180</v>
      </c>
      <c r="B96" s="209" t="s">
        <v>181</v>
      </c>
      <c r="C96" s="86" t="s">
        <v>182</v>
      </c>
      <c r="D96" s="69">
        <v>10</v>
      </c>
      <c r="E96" s="53" t="str">
        <f>VLOOKUP(A96,'[1]Global Roaming'!F:I,3,0)</f>
        <v>419</v>
      </c>
      <c r="F96" s="8" t="str">
        <f>VLOOKUP(A96,'[1]Global Roaming'!F:I,4,0)</f>
        <v>04</v>
      </c>
      <c r="G96" s="25" t="str">
        <f>VLOOKUP(A96,'[1]Global Roaming'!F:Z,21,0)</f>
        <v>Bilateral</v>
      </c>
      <c r="H96" s="25" t="str">
        <f>VLOOKUP(A96,'[1]Global Roaming'!F:L,7,0)</f>
        <v>YES</v>
      </c>
      <c r="I96" s="25" t="str">
        <f>VLOOKUP(A96,'[1]Global Roaming'!F:P,11,0)</f>
        <v>YES</v>
      </c>
      <c r="J96" s="25" t="str">
        <f>VLOOKUP(A96,'[1]Global Roaming'!F:T,15,0)</f>
        <v>YES</v>
      </c>
    </row>
    <row r="97" spans="1:10" customFormat="1" x14ac:dyDescent="0.25">
      <c r="A97" s="58" t="s">
        <v>183</v>
      </c>
      <c r="B97" s="199"/>
      <c r="C97" s="84" t="s">
        <v>184</v>
      </c>
      <c r="D97" s="42">
        <v>90</v>
      </c>
      <c r="E97" s="14" t="str">
        <f>VLOOKUP(A97,'[1]Global Roaming'!F:I,3,0)</f>
        <v>419</v>
      </c>
      <c r="F97" s="9" t="str">
        <f>VLOOKUP(A97,'[1]Global Roaming'!F:I,4,0)</f>
        <v>02</v>
      </c>
      <c r="G97" s="23" t="str">
        <f>VLOOKUP(A97,'[1]Global Roaming'!F:Z,21,0)</f>
        <v>Bilateral</v>
      </c>
      <c r="H97" s="23" t="str">
        <f>VLOOKUP(A97,'[1]Global Roaming'!F:L,7,0)</f>
        <v>YES</v>
      </c>
      <c r="I97" s="23" t="str">
        <f>VLOOKUP(A97,'[1]Global Roaming'!F:P,11,0)</f>
        <v>YES</v>
      </c>
      <c r="J97" s="23" t="str">
        <f>VLOOKUP(A97,'[1]Global Roaming'!F:T,15,0)</f>
        <v>YES</v>
      </c>
    </row>
    <row r="98" spans="1:10" customFormat="1" ht="15.75" thickBot="1" x14ac:dyDescent="0.3">
      <c r="A98" s="59" t="s">
        <v>185</v>
      </c>
      <c r="B98" s="200"/>
      <c r="C98" s="87" t="s">
        <v>186</v>
      </c>
      <c r="D98" s="72" t="s">
        <v>43</v>
      </c>
      <c r="E98" s="54" t="str">
        <f>VLOOKUP(A98,'[1]Global Roaming'!F:I,3,0)</f>
        <v>419</v>
      </c>
      <c r="F98" s="13" t="str">
        <f>VLOOKUP(A98,'[1]Global Roaming'!F:I,4,0)</f>
        <v>03</v>
      </c>
      <c r="G98" s="26" t="str">
        <f>VLOOKUP(A98,'[1]Global Roaming'!F:Z,21,0)</f>
        <v>Bilateral</v>
      </c>
      <c r="H98" s="26" t="str">
        <f>VLOOKUP(A98,'[1]Global Roaming'!F:L,7,0)</f>
        <v>YES</v>
      </c>
      <c r="I98" s="26">
        <f>VLOOKUP(A98,'[1]Global Roaming'!F:P,11,0)</f>
        <v>0</v>
      </c>
      <c r="J98" s="26">
        <f>VLOOKUP(A98,'[1]Global Roaming'!F:T,15,0)</f>
        <v>0</v>
      </c>
    </row>
    <row r="99" spans="1:10" customFormat="1" x14ac:dyDescent="0.25">
      <c r="A99" s="21" t="s">
        <v>187</v>
      </c>
      <c r="B99" s="198" t="s">
        <v>188</v>
      </c>
      <c r="C99" s="83" t="s">
        <v>189</v>
      </c>
      <c r="D99" s="44" t="s">
        <v>43</v>
      </c>
      <c r="E99" s="55" t="str">
        <f>VLOOKUP(A99,'[1]Global Roaming'!F:I,3,0)</f>
        <v>416</v>
      </c>
      <c r="F99" s="12" t="str">
        <f>VLOOKUP(A99,'[1]Global Roaming'!F:I,4,0)</f>
        <v>01</v>
      </c>
      <c r="G99" s="22" t="str">
        <f>VLOOKUP(A99,'[1]Global Roaming'!F:Z,21,0)</f>
        <v>Bilateral</v>
      </c>
      <c r="H99" s="22" t="str">
        <f>VLOOKUP(A99,'[1]Global Roaming'!F:L,7,0)</f>
        <v>YES</v>
      </c>
      <c r="I99" s="22" t="str">
        <f>VLOOKUP(A99,'[1]Global Roaming'!F:P,11,0)</f>
        <v>YES</v>
      </c>
      <c r="J99" s="22">
        <f>VLOOKUP(A99,'[1]Global Roaming'!F:T,15,0)</f>
        <v>0</v>
      </c>
    </row>
    <row r="100" spans="1:10" customFormat="1" x14ac:dyDescent="0.25">
      <c r="A100" s="49" t="s">
        <v>190</v>
      </c>
      <c r="B100" s="199"/>
      <c r="C100" s="84" t="s">
        <v>191</v>
      </c>
      <c r="D100" s="42">
        <v>100</v>
      </c>
      <c r="E100" s="14" t="str">
        <f>VLOOKUP(A100,'[1]Global Roaming'!F:I,3,0)</f>
        <v>416</v>
      </c>
      <c r="F100" s="9" t="str">
        <f>VLOOKUP(A100,'[1]Global Roaming'!F:I,4,0)</f>
        <v>77</v>
      </c>
      <c r="G100" s="23" t="str">
        <f>VLOOKUP(A100,'[1]Global Roaming'!F:Z,21,0)</f>
        <v>Orange Hub</v>
      </c>
      <c r="H100" s="23" t="str">
        <f>VLOOKUP(A100,'[1]Global Roaming'!F:L,7,0)</f>
        <v>YES</v>
      </c>
      <c r="I100" s="23" t="str">
        <f>VLOOKUP(A100,'[1]Global Roaming'!F:P,11,0)</f>
        <v>YES</v>
      </c>
      <c r="J100" s="23" t="str">
        <f>VLOOKUP(A100,'[1]Global Roaming'!F:T,15,0)</f>
        <v>YES</v>
      </c>
    </row>
    <row r="101" spans="1:10" customFormat="1" ht="15.75" thickBot="1" x14ac:dyDescent="0.3">
      <c r="A101" s="50" t="s">
        <v>192</v>
      </c>
      <c r="B101" s="201"/>
      <c r="C101" s="85" t="s">
        <v>193</v>
      </c>
      <c r="D101" s="67" t="s">
        <v>43</v>
      </c>
      <c r="E101" s="56" t="str">
        <f>VLOOKUP(A101,'[1]Global Roaming'!F:I,3,0)</f>
        <v>416</v>
      </c>
      <c r="F101" s="10" t="str">
        <f>VLOOKUP(A101,'[1]Global Roaming'!F:I,4,0)</f>
        <v>03</v>
      </c>
      <c r="G101" s="24" t="str">
        <f>VLOOKUP(A101,'[1]Global Roaming'!F:Z,21,0)</f>
        <v>Bilateral</v>
      </c>
      <c r="H101" s="24" t="str">
        <f>VLOOKUP(A101,'[1]Global Roaming'!F:L,7,0)</f>
        <v>YES</v>
      </c>
      <c r="I101" s="24" t="str">
        <f>VLOOKUP(A101,'[1]Global Roaming'!F:P,11,0)</f>
        <v>YES</v>
      </c>
      <c r="J101" s="24" t="str">
        <f>VLOOKUP(A101,'[1]Global Roaming'!F:T,15,0)</f>
        <v>YES</v>
      </c>
    </row>
    <row r="102" spans="1:10" customFormat="1" x14ac:dyDescent="0.25">
      <c r="A102" s="21" t="s">
        <v>194</v>
      </c>
      <c r="B102" s="198" t="s">
        <v>195</v>
      </c>
      <c r="C102" s="83" t="s">
        <v>196</v>
      </c>
      <c r="D102" s="44">
        <v>90</v>
      </c>
      <c r="E102" s="55" t="str">
        <f>VLOOKUP(A102,'[1]Global Roaming'!F:I,3,0)</f>
        <v>246</v>
      </c>
      <c r="F102" s="12" t="str">
        <f>VLOOKUP(A102,'[1]Global Roaming'!F:I,4,0)</f>
        <v>03</v>
      </c>
      <c r="G102" s="22" t="str">
        <f>VLOOKUP(A102,'[1]Global Roaming'!F:Z,21,0)</f>
        <v>Bilateral</v>
      </c>
      <c r="H102" s="22" t="str">
        <f>VLOOKUP(A102,'[1]Global Roaming'!F:L,7,0)</f>
        <v>YES</v>
      </c>
      <c r="I102" s="22" t="str">
        <f>VLOOKUP(A102,'[1]Global Roaming'!F:P,11,0)</f>
        <v>YES</v>
      </c>
      <c r="J102" s="22" t="str">
        <f>VLOOKUP(A102,'[1]Global Roaming'!F:T,15,0)</f>
        <v>YES</v>
      </c>
    </row>
    <row r="103" spans="1:10" customFormat="1" x14ac:dyDescent="0.25">
      <c r="A103" s="49" t="s">
        <v>197</v>
      </c>
      <c r="B103" s="199"/>
      <c r="C103" s="84" t="s">
        <v>198</v>
      </c>
      <c r="D103" s="42">
        <v>10</v>
      </c>
      <c r="E103" s="14" t="str">
        <f>VLOOKUP(A103,'[1]Global Roaming'!F:I,3,0)</f>
        <v>246</v>
      </c>
      <c r="F103" s="9" t="str">
        <f>VLOOKUP(A103,'[1]Global Roaming'!F:I,4,0)</f>
        <v>02</v>
      </c>
      <c r="G103" s="23" t="str">
        <f>VLOOKUP(A103,'[1]Global Roaming'!F:Z,21,0)</f>
        <v>Comfone</v>
      </c>
      <c r="H103" s="23" t="str">
        <f>VLOOKUP(A103,'[1]Global Roaming'!F:L,7,0)</f>
        <v>YES</v>
      </c>
      <c r="I103" s="23" t="str">
        <f>VLOOKUP(A103,'[1]Global Roaming'!F:P,11,0)</f>
        <v>YES</v>
      </c>
      <c r="J103" s="23" t="str">
        <f>VLOOKUP(A103,'[1]Global Roaming'!F:T,15,0)</f>
        <v>YES</v>
      </c>
    </row>
    <row r="104" spans="1:10" customFormat="1" ht="15.75" thickBot="1" x14ac:dyDescent="0.3">
      <c r="A104" s="50" t="s">
        <v>199</v>
      </c>
      <c r="B104" s="201"/>
      <c r="C104" s="85" t="s">
        <v>200</v>
      </c>
      <c r="D104" s="67" t="s">
        <v>10</v>
      </c>
      <c r="E104" s="56" t="str">
        <f>VLOOKUP(A104,'[1]Global Roaming'!F:I,3,0)</f>
        <v>246</v>
      </c>
      <c r="F104" s="10" t="str">
        <f>VLOOKUP(A104,'[1]Global Roaming'!F:I,4,0)</f>
        <v>01</v>
      </c>
      <c r="G104" s="24" t="str">
        <f>VLOOKUP(A104,'[1]Global Roaming'!F:Z,21,0)</f>
        <v>Bilateral</v>
      </c>
      <c r="H104" s="24" t="str">
        <f>VLOOKUP(A104,'[1]Global Roaming'!F:L,7,0)</f>
        <v>YES</v>
      </c>
      <c r="I104" s="24" t="str">
        <f>VLOOKUP(A104,'[1]Global Roaming'!F:P,11,0)</f>
        <v>Arrêté</v>
      </c>
      <c r="J104" s="24" t="str">
        <f>VLOOKUP(A104,'[1]Global Roaming'!F:T,15,0)</f>
        <v>YES</v>
      </c>
    </row>
    <row r="105" spans="1:10" customFormat="1" x14ac:dyDescent="0.25">
      <c r="A105" s="61" t="s">
        <v>201</v>
      </c>
      <c r="B105" s="209" t="s">
        <v>202</v>
      </c>
      <c r="C105" s="86" t="s">
        <v>203</v>
      </c>
      <c r="D105" s="69">
        <v>10</v>
      </c>
      <c r="E105" s="63" t="str">
        <f>VLOOKUP(A105,'[1]Global Roaming'!F:I,3,0)</f>
        <v>420</v>
      </c>
      <c r="F105" s="62" t="str">
        <f>VLOOKUP(A105,'[1]Global Roaming'!F:I,4,0)</f>
        <v>01</v>
      </c>
      <c r="G105" s="64" t="str">
        <f>VLOOKUP(A105,'[1]Global Roaming'!F:Z,21,0)</f>
        <v>Bilateral</v>
      </c>
      <c r="H105" s="64" t="str">
        <f>VLOOKUP(A105,'[1]Global Roaming'!F:L,7,0)</f>
        <v>YES</v>
      </c>
      <c r="I105" s="64" t="str">
        <f>VLOOKUP(A105,'[1]Global Roaming'!F:P,11,0)</f>
        <v>Arrêté</v>
      </c>
      <c r="J105" s="25" t="str">
        <f>VLOOKUP(A105,'[1]Global Roaming'!F:T,15,0)</f>
        <v>YES</v>
      </c>
    </row>
    <row r="106" spans="1:10" customFormat="1" x14ac:dyDescent="0.25">
      <c r="A106" s="58" t="s">
        <v>204</v>
      </c>
      <c r="B106" s="199"/>
      <c r="C106" s="84" t="s">
        <v>205</v>
      </c>
      <c r="D106" s="42" t="s">
        <v>10</v>
      </c>
      <c r="E106" s="57" t="str">
        <f>VLOOKUP(A106,'[1]Global Roaming'!F:I,3,0)</f>
        <v>420</v>
      </c>
      <c r="F106" s="45" t="str">
        <f>VLOOKUP(A106,'[1]Global Roaming'!F:I,4,0)</f>
        <v>03</v>
      </c>
      <c r="G106" s="46" t="str">
        <f>VLOOKUP(A106,'[1]Global Roaming'!F:Z,21,0)</f>
        <v>Bilateral</v>
      </c>
      <c r="H106" s="46" t="str">
        <f>VLOOKUP(A106,'[1]Global Roaming'!F:L,7,0)</f>
        <v>YES</v>
      </c>
      <c r="I106" s="46" t="str">
        <f>VLOOKUP(A106,'[1]Global Roaming'!F:P,11,0)</f>
        <v>YES</v>
      </c>
      <c r="J106" s="23" t="str">
        <f>VLOOKUP(A106,'[1]Global Roaming'!F:T,15,0)</f>
        <v>YES</v>
      </c>
    </row>
    <row r="107" spans="1:10" customFormat="1" ht="15.75" thickBot="1" x14ac:dyDescent="0.3">
      <c r="A107" s="59" t="s">
        <v>206</v>
      </c>
      <c r="B107" s="200"/>
      <c r="C107" s="87" t="s">
        <v>207</v>
      </c>
      <c r="D107" s="72">
        <v>90</v>
      </c>
      <c r="E107" s="65" t="str">
        <f>VLOOKUP(A107,'[1]Global Roaming'!F:I,3,0)</f>
        <v>420</v>
      </c>
      <c r="F107" s="60" t="str">
        <f>VLOOKUP(A107,'[1]Global Roaming'!F:I,4,0)</f>
        <v>04</v>
      </c>
      <c r="G107" s="66" t="str">
        <f>VLOOKUP(A107,'[1]Global Roaming'!F:Z,21,0)</f>
        <v>Bilateral</v>
      </c>
      <c r="H107" s="66" t="str">
        <f>VLOOKUP(A107,'[1]Global Roaming'!F:L,7,0)</f>
        <v>YES</v>
      </c>
      <c r="I107" s="66" t="str">
        <f>VLOOKUP(A107,'[1]Global Roaming'!F:P,11,0)</f>
        <v>YES</v>
      </c>
      <c r="J107" s="26" t="str">
        <f>VLOOKUP(A107,'[1]Global Roaming'!F:T,15,0)</f>
        <v>YES</v>
      </c>
    </row>
    <row r="108" spans="1:10" customFormat="1" x14ac:dyDescent="0.25">
      <c r="A108" s="21" t="s">
        <v>215</v>
      </c>
      <c r="B108" s="198" t="s">
        <v>209</v>
      </c>
      <c r="C108" s="89" t="s">
        <v>345</v>
      </c>
      <c r="D108" s="44">
        <v>10</v>
      </c>
      <c r="E108" s="43" t="str">
        <f>VLOOKUP(A108,'[1]Global Roaming'!F:I,3,0)</f>
        <v>250</v>
      </c>
      <c r="F108" s="43" t="str">
        <f>VLOOKUP(A108,'[1]Global Roaming'!F:I,4,0)</f>
        <v>02</v>
      </c>
      <c r="G108" s="44" t="str">
        <f>VLOOKUP(A108,'[1]Global Roaming'!F:Z,21,0)</f>
        <v>Bilateral</v>
      </c>
      <c r="H108" s="44" t="str">
        <f>VLOOKUP(A108,'[1]Global Roaming'!F:L,7,0)</f>
        <v>YES</v>
      </c>
      <c r="I108" s="44" t="str">
        <f>VLOOKUP(A108,'[1]Global Roaming'!F:P,11,0)</f>
        <v>YES</v>
      </c>
      <c r="J108" s="1">
        <f>VLOOKUP(A108,'[1]Global Roaming'!F:T,15,0)</f>
        <v>0</v>
      </c>
    </row>
    <row r="109" spans="1:10" customFormat="1" x14ac:dyDescent="0.25">
      <c r="A109" s="49" t="s">
        <v>208</v>
      </c>
      <c r="B109" s="199"/>
      <c r="C109" s="92" t="s">
        <v>210</v>
      </c>
      <c r="D109" s="42">
        <v>80</v>
      </c>
      <c r="E109" s="41" t="str">
        <f>VLOOKUP(A109,'[1]Global Roaming'!F:I,3,0)</f>
        <v>250</v>
      </c>
      <c r="F109" s="41" t="str">
        <f>VLOOKUP(A109,'[1]Global Roaming'!F:I,4,0)</f>
        <v>01</v>
      </c>
      <c r="G109" s="42" t="str">
        <f>VLOOKUP(A109,'[1]Global Roaming'!F:Z,21,0)</f>
        <v>Bilateral</v>
      </c>
      <c r="H109" s="42" t="str">
        <f>VLOOKUP(A109,'[1]Global Roaming'!F:L,7,0)</f>
        <v>YES</v>
      </c>
      <c r="I109" s="42" t="str">
        <f>VLOOKUP(A109,'[1]Global Roaming'!F:P,11,0)</f>
        <v>YES</v>
      </c>
      <c r="J109" s="2" t="str">
        <f>VLOOKUP(A109,'[1]Global Roaming'!F:T,15,0)</f>
        <v>YES</v>
      </c>
    </row>
    <row r="110" spans="1:10" customFormat="1" x14ac:dyDescent="0.25">
      <c r="A110" s="49" t="s">
        <v>344</v>
      </c>
      <c r="B110" s="199"/>
      <c r="C110" s="92" t="s">
        <v>346</v>
      </c>
      <c r="D110" s="42">
        <v>10</v>
      </c>
      <c r="E110" s="41" t="str">
        <f>VLOOKUP(A110,'[1]Global Roaming'!F:I,3,0)</f>
        <v>250</v>
      </c>
      <c r="F110" s="41" t="str">
        <f>VLOOKUP(A110,'[1]Global Roaming'!F:I,4,0)</f>
        <v>20</v>
      </c>
      <c r="G110" s="42" t="str">
        <f>VLOOKUP(A110,'[1]Global Roaming'!F:Z,21,0)</f>
        <v>Comfone</v>
      </c>
      <c r="H110" s="42" t="str">
        <f>VLOOKUP(A110,'[1]Global Roaming'!F:L,7,0)</f>
        <v>YES</v>
      </c>
      <c r="I110" s="42" t="str">
        <f>VLOOKUP(A110,'[1]Global Roaming'!F:P,11,0)</f>
        <v>YES</v>
      </c>
      <c r="J110" s="2" t="str">
        <f>VLOOKUP(A110,'[1]Global Roaming'!F:T,15,0)</f>
        <v>YES</v>
      </c>
    </row>
    <row r="111" spans="1:10" customFormat="1" x14ac:dyDescent="0.25">
      <c r="A111" s="49" t="s">
        <v>211</v>
      </c>
      <c r="B111" s="199"/>
      <c r="C111" s="92" t="s">
        <v>212</v>
      </c>
      <c r="D111" s="42" t="s">
        <v>43</v>
      </c>
      <c r="E111" s="41" t="str">
        <f>VLOOKUP(A111,'[1]Global Roaming'!F:I,3,0)</f>
        <v>250</v>
      </c>
      <c r="F111" s="41" t="str">
        <f>VLOOKUP(A111,'[1]Global Roaming'!F:I,4,0)</f>
        <v>27</v>
      </c>
      <c r="G111" s="42" t="str">
        <f>VLOOKUP(A111,'[1]Global Roaming'!F:Z,21,0)</f>
        <v>Comfone</v>
      </c>
      <c r="H111" s="42" t="str">
        <f>VLOOKUP(A111,'[1]Global Roaming'!F:L,7,0)</f>
        <v>YES</v>
      </c>
      <c r="I111" s="42" t="str">
        <f>VLOOKUP(A111,'[1]Global Roaming'!F:P,11,0)</f>
        <v>Arrêté</v>
      </c>
      <c r="J111" s="2" t="str">
        <f>VLOOKUP(A111,'[1]Global Roaming'!F:T,15,0)</f>
        <v>YES</v>
      </c>
    </row>
    <row r="112" spans="1:10" customFormat="1" ht="15.75" thickBot="1" x14ac:dyDescent="0.3">
      <c r="A112" s="50" t="s">
        <v>213</v>
      </c>
      <c r="B112" s="201"/>
      <c r="C112" s="90" t="s">
        <v>214</v>
      </c>
      <c r="D112" s="67" t="s">
        <v>10</v>
      </c>
      <c r="E112" s="68" t="str">
        <f>VLOOKUP(A112,'[1]Global Roaming'!F:I,3,0)</f>
        <v>250</v>
      </c>
      <c r="F112" s="68" t="str">
        <f>VLOOKUP(A112,'[1]Global Roaming'!F:I,4,0)</f>
        <v>99</v>
      </c>
      <c r="G112" s="67" t="str">
        <f>VLOOKUP(A112,'[1]Global Roaming'!F:Z,21,0)</f>
        <v>Bilateral</v>
      </c>
      <c r="H112" s="67" t="str">
        <f>VLOOKUP(A112,'[1]Global Roaming'!F:L,7,0)</f>
        <v>YES</v>
      </c>
      <c r="I112" s="67" t="str">
        <f>VLOOKUP(A112,'[1]Global Roaming'!F:P,11,0)</f>
        <v>YES</v>
      </c>
      <c r="J112" s="3" t="str">
        <f>VLOOKUP(A112,'[1]Global Roaming'!F:T,15,0)</f>
        <v>YES</v>
      </c>
    </row>
    <row r="113" spans="1:10" customFormat="1" ht="15.75" thickBot="1" x14ac:dyDescent="0.3">
      <c r="A113" s="38" t="s">
        <v>216</v>
      </c>
      <c r="B113" s="208" t="s">
        <v>217</v>
      </c>
      <c r="C113" s="86" t="s">
        <v>218</v>
      </c>
      <c r="D113" s="15">
        <v>80</v>
      </c>
      <c r="E113" s="8" t="str">
        <f>VLOOKUP(A113,'[1]Global Roaming'!F:I,3,0)</f>
        <v>460</v>
      </c>
      <c r="F113" s="8" t="str">
        <f>VLOOKUP(A113,'[1]Global Roaming'!F:I,4,0)</f>
        <v>00</v>
      </c>
      <c r="G113" s="25" t="str">
        <f>VLOOKUP(A113,'[1]Global Roaming'!F:Z,21,0)</f>
        <v>Bilateral</v>
      </c>
      <c r="H113" s="25" t="str">
        <f>VLOOKUP(A113,'[1]Global Roaming'!F:L,7,0)</f>
        <v>YES</v>
      </c>
      <c r="I113" s="25" t="str">
        <f>VLOOKUP(A113,'[1]Global Roaming'!F:P,11,0)</f>
        <v>YES</v>
      </c>
      <c r="J113" s="25" t="str">
        <f>VLOOKUP(A113,'[1]Global Roaming'!F:T,15,0)</f>
        <v>YES</v>
      </c>
    </row>
    <row r="114" spans="1:10" customFormat="1" ht="15.75" thickBot="1" x14ac:dyDescent="0.3">
      <c r="A114" s="40" t="s">
        <v>219</v>
      </c>
      <c r="B114" s="208"/>
      <c r="C114" s="87" t="s">
        <v>220</v>
      </c>
      <c r="D114" s="5">
        <v>20</v>
      </c>
      <c r="E114" s="13" t="str">
        <f>VLOOKUP(A114,'[1]Global Roaming'!F:I,3,0)</f>
        <v>460</v>
      </c>
      <c r="F114" s="13" t="str">
        <f>VLOOKUP(A114,'[1]Global Roaming'!F:I,4,0)</f>
        <v>01</v>
      </c>
      <c r="G114" s="26" t="str">
        <f>VLOOKUP(A114,'[1]Global Roaming'!F:Z,21,0)</f>
        <v>Bilateral</v>
      </c>
      <c r="H114" s="26" t="str">
        <f>VLOOKUP(A114,'[1]Global Roaming'!F:L,7,0)</f>
        <v>Arrêté</v>
      </c>
      <c r="I114" s="26" t="str">
        <f>VLOOKUP(A114,'[1]Global Roaming'!F:P,11,0)</f>
        <v>Arrêté</v>
      </c>
      <c r="J114" s="26" t="str">
        <f>VLOOKUP(A114,'[1]Global Roaming'!F:T,15,0)</f>
        <v>YES</v>
      </c>
    </row>
    <row r="115" spans="1:10" customFormat="1" x14ac:dyDescent="0.25">
      <c r="A115" s="21" t="s">
        <v>221</v>
      </c>
      <c r="B115" s="198" t="s">
        <v>222</v>
      </c>
      <c r="C115" s="83" t="s">
        <v>223</v>
      </c>
      <c r="D115" s="44">
        <v>0</v>
      </c>
      <c r="E115" s="47" t="str">
        <f>VLOOKUP(A115,'[1]Global Roaming'!F:I,3,0)</f>
        <v>606</v>
      </c>
      <c r="F115" s="47" t="str">
        <f>VLOOKUP(A115,'[1]Global Roaming'!F:I,4,0)</f>
        <v>01</v>
      </c>
      <c r="G115" s="48" t="str">
        <f>VLOOKUP(A115,'[1]Global Roaming'!F:Z,21,0)</f>
        <v>Bilateral</v>
      </c>
      <c r="H115" s="48" t="str">
        <f>VLOOKUP(A115,'[1]Global Roaming'!F:L,7,0)</f>
        <v>YES</v>
      </c>
      <c r="I115" s="48" t="str">
        <f>VLOOKUP(A115,'[1]Global Roaming'!F:P,11,0)</f>
        <v>YES</v>
      </c>
      <c r="J115" s="22" t="str">
        <f>VLOOKUP(A115,'[1]Global Roaming'!F:T,15,0)</f>
        <v>YES</v>
      </c>
    </row>
    <row r="116" spans="1:10" customFormat="1" ht="15.75" thickBot="1" x14ac:dyDescent="0.3">
      <c r="A116" s="50" t="s">
        <v>224</v>
      </c>
      <c r="B116" s="201"/>
      <c r="C116" s="85" t="s">
        <v>225</v>
      </c>
      <c r="D116" s="67">
        <v>100</v>
      </c>
      <c r="E116" s="51" t="str">
        <f>VLOOKUP(A116,'[1]Global Roaming'!F:I,3,0)</f>
        <v>606</v>
      </c>
      <c r="F116" s="51" t="str">
        <f>VLOOKUP(A116,'[1]Global Roaming'!F:I,4,0)</f>
        <v>00</v>
      </c>
      <c r="G116" s="52" t="str">
        <f>VLOOKUP(A116,'[1]Global Roaming'!F:Z,21,0)</f>
        <v>Bilateral</v>
      </c>
      <c r="H116" s="52" t="str">
        <f>VLOOKUP(A116,'[1]Global Roaming'!F:L,7,0)</f>
        <v>YES</v>
      </c>
      <c r="I116" s="52" t="str">
        <f>VLOOKUP(A116,'[1]Global Roaming'!F:P,11,0)</f>
        <v>YES</v>
      </c>
      <c r="J116" s="24">
        <f>VLOOKUP(A116,'[1]Global Roaming'!F:T,15,0)</f>
        <v>0</v>
      </c>
    </row>
    <row r="117" spans="1:10" customFormat="1" x14ac:dyDescent="0.25">
      <c r="A117" s="38" t="s">
        <v>316</v>
      </c>
      <c r="B117" s="209" t="s">
        <v>227</v>
      </c>
      <c r="C117" s="86" t="s">
        <v>228</v>
      </c>
      <c r="D117" s="69" t="s">
        <v>43</v>
      </c>
      <c r="E117" s="70">
        <f>VLOOKUP(A117,'[1]Global Roaming'!F:I,3,0)</f>
        <v>520</v>
      </c>
      <c r="F117" s="70" t="str">
        <f>VLOOKUP(A117,'[1]Global Roaming'!F:I,4,0)</f>
        <v>03</v>
      </c>
      <c r="G117" s="69" t="str">
        <f>VLOOKUP(A117,'[1]Global Roaming'!F:Z,21,0)</f>
        <v>Comfone</v>
      </c>
      <c r="H117" s="69" t="str">
        <f>VLOOKUP(A117,'[1]Global Roaming'!F:L,7,0)</f>
        <v>YES</v>
      </c>
      <c r="I117" s="69" t="str">
        <f>VLOOKUP(A117,'[1]Global Roaming'!F:P,11,0)</f>
        <v>YES</v>
      </c>
      <c r="J117" s="15" t="str">
        <f>VLOOKUP(A117,'[1]Global Roaming'!F:T,15,0)</f>
        <v>YES</v>
      </c>
    </row>
    <row r="118" spans="1:10" customFormat="1" x14ac:dyDescent="0.25">
      <c r="A118" s="49" t="s">
        <v>264</v>
      </c>
      <c r="B118" s="199"/>
      <c r="C118" s="84" t="s">
        <v>739</v>
      </c>
      <c r="D118" s="42">
        <v>100</v>
      </c>
      <c r="E118" s="41" t="str">
        <f>VLOOKUP(A118,'[1]Global Roaming'!F:I,3,0)</f>
        <v>520</v>
      </c>
      <c r="F118" s="41" t="str">
        <f>VLOOKUP(A118,'[1]Global Roaming'!F:I,4,0)</f>
        <v>05</v>
      </c>
      <c r="G118" s="42" t="str">
        <f>VLOOKUP(A118,'[1]Global Roaming'!F:Z,21,0)</f>
        <v>Comfone</v>
      </c>
      <c r="H118" s="42" t="str">
        <f>VLOOKUP(A118,'[1]Global Roaming'!F:L,7,0)</f>
        <v>YES</v>
      </c>
      <c r="I118" s="42" t="str">
        <f>VLOOKUP(A118,'[1]Global Roaming'!F:P,11,0)</f>
        <v>YES</v>
      </c>
      <c r="J118" s="2" t="str">
        <f>VLOOKUP(A118,'[1]Global Roaming'!F:T,15,0)</f>
        <v>YES</v>
      </c>
    </row>
    <row r="119" spans="1:10" customFormat="1" x14ac:dyDescent="0.25">
      <c r="A119" s="49" t="s">
        <v>226</v>
      </c>
      <c r="B119" s="199"/>
      <c r="C119" s="84" t="s">
        <v>228</v>
      </c>
      <c r="D119" s="42" t="s">
        <v>43</v>
      </c>
      <c r="E119" s="41" t="str">
        <f>VLOOKUP(A119,'[1]Global Roaming'!F:I,3,0)</f>
        <v>520</v>
      </c>
      <c r="F119" s="41" t="str">
        <f>VLOOKUP(A119,'[1]Global Roaming'!F:I,4,0)</f>
        <v>99</v>
      </c>
      <c r="G119" s="42" t="str">
        <f>VLOOKUP(A119,'[1]Global Roaming'!F:Z,21,0)</f>
        <v>Bilateral</v>
      </c>
      <c r="H119" s="42" t="str">
        <f>VLOOKUP(A119,'[1]Global Roaming'!F:L,7,0)</f>
        <v>YES</v>
      </c>
      <c r="I119" s="42" t="str">
        <f>VLOOKUP(A119,'[1]Global Roaming'!F:P,11,0)</f>
        <v>YES</v>
      </c>
      <c r="J119" s="2" t="str">
        <f>VLOOKUP(A119,'[1]Global Roaming'!F:T,15,0)</f>
        <v>YES</v>
      </c>
    </row>
    <row r="120" spans="1:10" customFormat="1" x14ac:dyDescent="0.25">
      <c r="A120" s="49" t="s">
        <v>229</v>
      </c>
      <c r="B120" s="199"/>
      <c r="C120" s="84" t="s">
        <v>230</v>
      </c>
      <c r="D120" s="42" t="s">
        <v>43</v>
      </c>
      <c r="E120" s="41" t="str">
        <f>VLOOKUP(A120,'[1]Global Roaming'!F:I,3,0)</f>
        <v>520</v>
      </c>
      <c r="F120" s="41" t="str">
        <f>VLOOKUP(A120,'[1]Global Roaming'!F:I,4,0)</f>
        <v>00</v>
      </c>
      <c r="G120" s="42" t="str">
        <f>VLOOKUP(A120,'[1]Global Roaming'!F:Z,21,0)</f>
        <v>Bilateral</v>
      </c>
      <c r="H120" s="42" t="str">
        <f>VLOOKUP(A120,'[1]Global Roaming'!F:L,7,0)</f>
        <v>YES</v>
      </c>
      <c r="I120" s="42" t="str">
        <f>VLOOKUP(A120,'[1]Global Roaming'!F:P,11,0)</f>
        <v>YES</v>
      </c>
      <c r="J120" s="2" t="str">
        <f>VLOOKUP(A120,'[1]Global Roaming'!F:T,15,0)</f>
        <v>YES</v>
      </c>
    </row>
    <row r="121" spans="1:10" customFormat="1" ht="15.75" thickBot="1" x14ac:dyDescent="0.3">
      <c r="A121" s="50" t="s">
        <v>317</v>
      </c>
      <c r="B121" s="201"/>
      <c r="C121" s="85" t="s">
        <v>231</v>
      </c>
      <c r="D121" s="67" t="s">
        <v>43</v>
      </c>
      <c r="E121" s="68" t="str">
        <f>VLOOKUP(A121,'[1]Global Roaming'!F:I,3,0)</f>
        <v>520</v>
      </c>
      <c r="F121" s="68" t="str">
        <f>VLOOKUP(A121,'[1]Global Roaming'!F:I,4,0)</f>
        <v>04</v>
      </c>
      <c r="G121" s="67" t="str">
        <f>VLOOKUP(A121,'[1]Global Roaming'!F:Z,21,0)</f>
        <v>Bilateral</v>
      </c>
      <c r="H121" s="67" t="str">
        <f>VLOOKUP(A121,'[1]Global Roaming'!F:L,7,0)</f>
        <v>YES</v>
      </c>
      <c r="I121" s="67" t="str">
        <f>VLOOKUP(A121,'[1]Global Roaming'!F:P,11,0)</f>
        <v>YES</v>
      </c>
      <c r="J121" s="3" t="str">
        <f>VLOOKUP(A121,'[1]Global Roaming'!F:T,15,0)</f>
        <v>YES</v>
      </c>
    </row>
    <row r="122" spans="1:10" customFormat="1" x14ac:dyDescent="0.25">
      <c r="A122" s="38" t="s">
        <v>232</v>
      </c>
      <c r="B122" s="214" t="s">
        <v>233</v>
      </c>
      <c r="C122" s="94" t="s">
        <v>234</v>
      </c>
      <c r="D122" s="69">
        <v>90</v>
      </c>
      <c r="E122" s="62" t="str">
        <f>VLOOKUP(A122,'[1]Global Roaming'!F:I,3,0)</f>
        <v>630</v>
      </c>
      <c r="F122" s="62" t="str">
        <f>VLOOKUP(A122,'[1]Global Roaming'!F:I,4,0)</f>
        <v>86</v>
      </c>
      <c r="G122" s="64" t="str">
        <f>VLOOKUP(A122,'[1]Global Roaming'!F:Z,21,0)</f>
        <v>Orange Hub</v>
      </c>
      <c r="H122" s="64" t="str">
        <f>VLOOKUP(A122,'[1]Global Roaming'!F:L,7,0)</f>
        <v>YES</v>
      </c>
      <c r="I122" s="64" t="str">
        <f>VLOOKUP(A122,'[1]Global Roaming'!F:P,11,0)</f>
        <v>YES</v>
      </c>
      <c r="J122" s="25" t="str">
        <f>VLOOKUP(A122,'[1]Global Roaming'!F:T,15,0)</f>
        <v>YES</v>
      </c>
    </row>
    <row r="123" spans="1:10" customFormat="1" x14ac:dyDescent="0.25">
      <c r="A123" s="49" t="s">
        <v>303</v>
      </c>
      <c r="B123" s="215"/>
      <c r="C123" s="95" t="s">
        <v>305</v>
      </c>
      <c r="D123" s="42" t="s">
        <v>43</v>
      </c>
      <c r="E123" s="45">
        <f>VLOOKUP(A123,'[1]Global Roaming'!F:I,3,0)</f>
        <v>630</v>
      </c>
      <c r="F123" s="45" t="str">
        <f>VLOOKUP(A123,'[1]Global Roaming'!F:I,4,0)</f>
        <v>90</v>
      </c>
      <c r="G123" s="46" t="str">
        <f>VLOOKUP(A123,'[1]Global Roaming'!F:Z,21,0)</f>
        <v>Comfone</v>
      </c>
      <c r="H123" s="46" t="str">
        <f>VLOOKUP(A123,'[1]Global Roaming'!F:L,7,0)</f>
        <v>YES</v>
      </c>
      <c r="I123" s="46" t="str">
        <f>VLOOKUP(A123,'[1]Global Roaming'!F:P,11,0)</f>
        <v>YES</v>
      </c>
      <c r="J123" s="23" t="str">
        <f>VLOOKUP(A123,'[1]Global Roaming'!F:T,15,0)</f>
        <v>YES</v>
      </c>
    </row>
    <row r="124" spans="1:10" customFormat="1" ht="15.75" thickBot="1" x14ac:dyDescent="0.3">
      <c r="A124" s="50" t="s">
        <v>304</v>
      </c>
      <c r="B124" s="216"/>
      <c r="C124" s="96" t="s">
        <v>306</v>
      </c>
      <c r="D124" s="67">
        <v>10</v>
      </c>
      <c r="E124" s="51" t="str">
        <f>VLOOKUP(A124,'[1]Global Roaming'!F:I,3,0)</f>
        <v>630</v>
      </c>
      <c r="F124" s="51" t="str">
        <f>VLOOKUP(A124,'[1]Global Roaming'!F:I,4,0)</f>
        <v>01</v>
      </c>
      <c r="G124" s="52" t="str">
        <f>VLOOKUP(A124,'[1]Global Roaming'!F:Z,21,0)</f>
        <v>Orange Hub</v>
      </c>
      <c r="H124" s="52" t="str">
        <f>VLOOKUP(A124,'[1]Global Roaming'!F:L,7,0)</f>
        <v>YES</v>
      </c>
      <c r="I124" s="52" t="str">
        <f>VLOOKUP(A124,'[1]Global Roaming'!F:P,11,0)</f>
        <v>YES</v>
      </c>
      <c r="J124" s="24" t="str">
        <f>VLOOKUP(A124,'[1]Global Roaming'!F:T,15,0)</f>
        <v>YES</v>
      </c>
    </row>
    <row r="125" spans="1:10" customFormat="1" x14ac:dyDescent="0.25">
      <c r="A125" s="38" t="s">
        <v>235</v>
      </c>
      <c r="B125" s="209" t="s">
        <v>236</v>
      </c>
      <c r="C125" s="86" t="s">
        <v>237</v>
      </c>
      <c r="D125" s="69">
        <v>80</v>
      </c>
      <c r="E125" s="70" t="str">
        <f>VLOOKUP(A125,'[1]Global Roaming'!F:I,3,0)</f>
        <v>454</v>
      </c>
      <c r="F125" s="70" t="str">
        <f>VLOOKUP(A125,'[1]Global Roaming'!F:I,4,0)</f>
        <v>00</v>
      </c>
      <c r="G125" s="69" t="str">
        <f>VLOOKUP(A125,'[1]Global Roaming'!F:Z,21,0)</f>
        <v>Orange Hub</v>
      </c>
      <c r="H125" s="69" t="str">
        <f>VLOOKUP(A125,'[1]Global Roaming'!F:L,7,0)</f>
        <v>YES</v>
      </c>
      <c r="I125" s="69" t="str">
        <f>VLOOKUP(A125,'[1]Global Roaming'!F:P,11,0)</f>
        <v>YES</v>
      </c>
      <c r="J125" s="15" t="str">
        <f>VLOOKUP(A125,'[1]Global Roaming'!F:T,15,0)</f>
        <v>YES</v>
      </c>
    </row>
    <row r="126" spans="1:10" customFormat="1" ht="15.75" thickBot="1" x14ac:dyDescent="0.3">
      <c r="A126" s="71" t="s">
        <v>238</v>
      </c>
      <c r="B126" s="200"/>
      <c r="C126" s="87" t="s">
        <v>239</v>
      </c>
      <c r="D126" s="72">
        <v>20</v>
      </c>
      <c r="E126" s="73" t="str">
        <f>VLOOKUP(A126,'[1]Global Roaming'!F:I,3,0)</f>
        <v>454</v>
      </c>
      <c r="F126" s="73" t="str">
        <f>VLOOKUP(A126,'[1]Global Roaming'!F:I,4,0)</f>
        <v>06</v>
      </c>
      <c r="G126" s="72" t="str">
        <f>VLOOKUP(A126,'[1]Global Roaming'!F:Z,21,0)</f>
        <v>Bilateral</v>
      </c>
      <c r="H126" s="72" t="str">
        <f>VLOOKUP(A126,'[1]Global Roaming'!F:L,7,0)</f>
        <v>YES</v>
      </c>
      <c r="I126" s="72" t="str">
        <f>VLOOKUP(A126,'[1]Global Roaming'!F:P,11,0)</f>
        <v>YES</v>
      </c>
      <c r="J126" s="5" t="str">
        <f>VLOOKUP(A126,'[1]Global Roaming'!F:T,15,0)</f>
        <v>YES</v>
      </c>
    </row>
    <row r="127" spans="1:10" customFormat="1" x14ac:dyDescent="0.25">
      <c r="A127" s="21" t="s">
        <v>240</v>
      </c>
      <c r="B127" s="198" t="s">
        <v>241</v>
      </c>
      <c r="C127" s="83" t="s">
        <v>169</v>
      </c>
      <c r="D127" s="44">
        <v>100</v>
      </c>
      <c r="E127" s="47" t="str">
        <f>VLOOKUP(A127,'[1]Global Roaming'!F:I,3,0)</f>
        <v>624</v>
      </c>
      <c r="F127" s="47" t="str">
        <f>VLOOKUP(A127,'[1]Global Roaming'!F:I,4,0)</f>
        <v>02</v>
      </c>
      <c r="G127" s="48" t="str">
        <f>VLOOKUP(A127,'[1]Global Roaming'!F:Z,21,0)</f>
        <v>Orange Hub</v>
      </c>
      <c r="H127" s="48" t="str">
        <f>VLOOKUP(A127,'[1]Global Roaming'!F:L,7,0)</f>
        <v>YES</v>
      </c>
      <c r="I127" s="48" t="str">
        <f>VLOOKUP(A127,'[1]Global Roaming'!F:P,11,0)</f>
        <v>YES</v>
      </c>
      <c r="J127" s="22" t="str">
        <f>VLOOKUP(A127,'[1]Global Roaming'!F:T,15,0)</f>
        <v>YES</v>
      </c>
    </row>
    <row r="128" spans="1:10" customFormat="1" ht="15.75" thickBot="1" x14ac:dyDescent="0.3">
      <c r="A128" s="50" t="s">
        <v>242</v>
      </c>
      <c r="B128" s="201"/>
      <c r="C128" s="85" t="s">
        <v>243</v>
      </c>
      <c r="D128" s="67">
        <v>0</v>
      </c>
      <c r="E128" s="51" t="str">
        <f>VLOOKUP(A128,'[1]Global Roaming'!F:I,3,0)</f>
        <v>624</v>
      </c>
      <c r="F128" s="51" t="str">
        <f>VLOOKUP(A128,'[1]Global Roaming'!F:I,4,0)</f>
        <v>01</v>
      </c>
      <c r="G128" s="52" t="str">
        <f>VLOOKUP(A128,'[1]Global Roaming'!F:Z,21,0)</f>
        <v>Orange Hub</v>
      </c>
      <c r="H128" s="52" t="str">
        <f>VLOOKUP(A128,'[1]Global Roaming'!F:L,7,0)</f>
        <v>YES</v>
      </c>
      <c r="I128" s="52" t="str">
        <f>VLOOKUP(A128,'[1]Global Roaming'!F:P,11,0)</f>
        <v>YES</v>
      </c>
      <c r="J128" s="24">
        <f>VLOOKUP(A128,'[1]Global Roaming'!F:T,15,0)</f>
        <v>0</v>
      </c>
    </row>
    <row r="129" spans="1:10" customFormat="1" x14ac:dyDescent="0.25">
      <c r="A129" s="38" t="s">
        <v>244</v>
      </c>
      <c r="B129" s="209" t="s">
        <v>245</v>
      </c>
      <c r="C129" s="86" t="s">
        <v>169</v>
      </c>
      <c r="D129" s="69">
        <v>100</v>
      </c>
      <c r="E129" s="70" t="str">
        <f>VLOOKUP(A129,'[1]Global Roaming'!F:I,3,0)</f>
        <v>612</v>
      </c>
      <c r="F129" s="70" t="str">
        <f>VLOOKUP(A129,'[1]Global Roaming'!F:I,4,0)</f>
        <v>03</v>
      </c>
      <c r="G129" s="69" t="str">
        <f>VLOOKUP(A129,'[1]Global Roaming'!F:Z,21,0)</f>
        <v>Orange Hub</v>
      </c>
      <c r="H129" s="69" t="str">
        <f>VLOOKUP(A129,'[1]Global Roaming'!F:L,7,0)</f>
        <v>YES</v>
      </c>
      <c r="I129" s="69" t="str">
        <f>VLOOKUP(A129,'[1]Global Roaming'!F:P,11,0)</f>
        <v>YES</v>
      </c>
      <c r="J129" s="15" t="str">
        <f>VLOOKUP(A129,'[1]Global Roaming'!F:T,15,0)</f>
        <v>YES</v>
      </c>
    </row>
    <row r="130" spans="1:10" customFormat="1" x14ac:dyDescent="0.25">
      <c r="A130" s="49" t="s">
        <v>351</v>
      </c>
      <c r="B130" s="199"/>
      <c r="C130" s="84" t="s">
        <v>352</v>
      </c>
      <c r="D130" s="42">
        <v>0</v>
      </c>
      <c r="E130" s="41">
        <f>VLOOKUP(A130,'[1]Global Roaming'!F:I,3,0)</f>
        <v>612</v>
      </c>
      <c r="F130" s="41" t="str">
        <f>VLOOKUP(A130,'[1]Global Roaming'!F:I,4,0)</f>
        <v>05</v>
      </c>
      <c r="G130" s="42" t="str">
        <f>VLOOKUP(A130,'[1]Global Roaming'!F:Z,21,0)</f>
        <v>Orange Hub</v>
      </c>
      <c r="H130" s="42" t="str">
        <f>VLOOKUP(A130,'[1]Global Roaming'!F:L,7,0)</f>
        <v>YES</v>
      </c>
      <c r="I130" s="42" t="str">
        <f>VLOOKUP(A130,'[1]Global Roaming'!F:P,11,0)</f>
        <v>YES</v>
      </c>
      <c r="J130" s="2">
        <f>VLOOKUP(A130,'[1]Global Roaming'!F:T,15,0)</f>
        <v>0</v>
      </c>
    </row>
    <row r="131" spans="1:10" customFormat="1" ht="15.75" thickBot="1" x14ac:dyDescent="0.3">
      <c r="A131" s="71" t="s">
        <v>246</v>
      </c>
      <c r="B131" s="200"/>
      <c r="C131" s="87" t="s">
        <v>247</v>
      </c>
      <c r="D131" s="74" t="s">
        <v>43</v>
      </c>
      <c r="E131" s="75" t="str">
        <f>VLOOKUP(A131,'[1]Global Roaming'!F:I,3,0)</f>
        <v>612</v>
      </c>
      <c r="F131" s="75" t="str">
        <f>VLOOKUP(A131,'[1]Global Roaming'!F:I,4,0)</f>
        <v>02</v>
      </c>
      <c r="G131" s="74" t="str">
        <f>VLOOKUP(A131,'[1]Global Roaming'!F:Z,21,0)</f>
        <v>Bilateral</v>
      </c>
      <c r="H131" s="74" t="str">
        <f>VLOOKUP(A131,'[1]Global Roaming'!F:L,7,0)</f>
        <v>YES</v>
      </c>
      <c r="I131" s="74" t="str">
        <f>VLOOKUP(A131,'[1]Global Roaming'!F:P,11,0)</f>
        <v>YES</v>
      </c>
      <c r="J131" s="76" t="str">
        <f>VLOOKUP(A131,'[1]Global Roaming'!F:T,15,0)</f>
        <v>Planned</v>
      </c>
    </row>
    <row r="132" spans="1:10" customFormat="1" x14ac:dyDescent="0.25">
      <c r="A132" s="21" t="s">
        <v>248</v>
      </c>
      <c r="B132" s="198" t="s">
        <v>249</v>
      </c>
      <c r="C132" s="83" t="s">
        <v>169</v>
      </c>
      <c r="D132" s="44">
        <v>100</v>
      </c>
      <c r="E132" s="47" t="str">
        <f>VLOOKUP(A132,'[1]Global Roaming'!F:I,3,0)</f>
        <v>646</v>
      </c>
      <c r="F132" s="47" t="str">
        <f>VLOOKUP(A132,'[1]Global Roaming'!F:I,4,0)</f>
        <v>02</v>
      </c>
      <c r="G132" s="48" t="str">
        <f>VLOOKUP(A132,'[1]Global Roaming'!F:Z,21,0)</f>
        <v>Orange Hub</v>
      </c>
      <c r="H132" s="48" t="str">
        <f>VLOOKUP(A132,'[1]Global Roaming'!F:L,7,0)</f>
        <v>YES</v>
      </c>
      <c r="I132" s="48" t="str">
        <f>VLOOKUP(A132,'[1]Global Roaming'!F:P,11,0)</f>
        <v>YES</v>
      </c>
      <c r="J132" s="22" t="str">
        <f>VLOOKUP(A132,'[1]Global Roaming'!F:T,15,0)</f>
        <v>YES</v>
      </c>
    </row>
    <row r="133" spans="1:10" customFormat="1" ht="15.75" thickBot="1" x14ac:dyDescent="0.3">
      <c r="A133" s="71" t="s">
        <v>250</v>
      </c>
      <c r="B133" s="200"/>
      <c r="C133" s="87" t="s">
        <v>251</v>
      </c>
      <c r="D133" s="72" t="s">
        <v>43</v>
      </c>
      <c r="E133" s="60" t="str">
        <f>VLOOKUP(A133,'[1]Global Roaming'!F:I,3,0)</f>
        <v>646</v>
      </c>
      <c r="F133" s="60" t="str">
        <f>VLOOKUP(A133,'[1]Global Roaming'!F:I,4,0)</f>
        <v>04</v>
      </c>
      <c r="G133" s="66" t="str">
        <f>VLOOKUP(A133,'[1]Global Roaming'!F:Z,21,0)</f>
        <v>Bilateral</v>
      </c>
      <c r="H133" s="66" t="str">
        <f>VLOOKUP(A133,'[1]Global Roaming'!F:L,7,0)</f>
        <v>YES</v>
      </c>
      <c r="I133" s="66" t="str">
        <f>VLOOKUP(A133,'[1]Global Roaming'!F:P,11,0)</f>
        <v>YES</v>
      </c>
      <c r="J133" s="26" t="str">
        <f>VLOOKUP(A133,'[1]Global Roaming'!F:T,15,0)</f>
        <v>YES</v>
      </c>
    </row>
    <row r="134" spans="1:10" customFormat="1" x14ac:dyDescent="0.25">
      <c r="A134" s="21" t="s">
        <v>252</v>
      </c>
      <c r="B134" s="198" t="s">
        <v>253</v>
      </c>
      <c r="C134" s="83" t="s">
        <v>254</v>
      </c>
      <c r="D134" s="44">
        <v>90</v>
      </c>
      <c r="E134" s="47" t="str">
        <f>VLOOKUP(A134,'[1]Global Roaming'!F:I,3,0)</f>
        <v>202</v>
      </c>
      <c r="F134" s="47" t="str">
        <f>VLOOKUP(A134,'[1]Global Roaming'!F:I,4,0)</f>
        <v>05</v>
      </c>
      <c r="G134" s="48" t="str">
        <f>VLOOKUP(A134,'[1]Global Roaming'!F:Z,21,0)</f>
        <v>Orange Hub</v>
      </c>
      <c r="H134" s="48" t="str">
        <f>VLOOKUP(A134,'[1]Global Roaming'!F:L,7,0)</f>
        <v>YES</v>
      </c>
      <c r="I134" s="48" t="str">
        <f>VLOOKUP(A134,'[1]Global Roaming'!F:P,11,0)</f>
        <v>Arrêté</v>
      </c>
      <c r="J134" s="22" t="str">
        <f>VLOOKUP(A134,'[1]Global Roaming'!F:T,15,0)</f>
        <v>YES</v>
      </c>
    </row>
    <row r="135" spans="1:10" customFormat="1" ht="15.75" thickBot="1" x14ac:dyDescent="0.3">
      <c r="A135" s="71" t="s">
        <v>255</v>
      </c>
      <c r="B135" s="200"/>
      <c r="C135" s="87" t="s">
        <v>256</v>
      </c>
      <c r="D135" s="72">
        <v>10</v>
      </c>
      <c r="E135" s="60" t="str">
        <f>VLOOKUP(A135,'[1]Global Roaming'!F:I,3,0)</f>
        <v>202</v>
      </c>
      <c r="F135" s="60" t="str">
        <f>VLOOKUP(A135,'[1]Global Roaming'!F:I,4,0)</f>
        <v>01</v>
      </c>
      <c r="G135" s="66" t="str">
        <f>VLOOKUP(A135,'[1]Global Roaming'!F:Z,21,0)</f>
        <v>Bilateral</v>
      </c>
      <c r="H135" s="66" t="str">
        <f>VLOOKUP(A135,'[1]Global Roaming'!F:L,7,0)</f>
        <v>YES</v>
      </c>
      <c r="I135" s="66" t="str">
        <f>VLOOKUP(A135,'[1]Global Roaming'!F:P,11,0)</f>
        <v>Arrêté</v>
      </c>
      <c r="J135" s="26" t="str">
        <f>VLOOKUP(A135,'[1]Global Roaming'!F:T,15,0)</f>
        <v>YES</v>
      </c>
    </row>
    <row r="136" spans="1:10" customFormat="1" x14ac:dyDescent="0.25">
      <c r="A136" s="21" t="s">
        <v>257</v>
      </c>
      <c r="B136" s="198" t="s">
        <v>258</v>
      </c>
      <c r="C136" s="83" t="s">
        <v>259</v>
      </c>
      <c r="D136" s="44">
        <v>0</v>
      </c>
      <c r="E136" s="47" t="str">
        <f>VLOOKUP(A136,'[1]Global Roaming'!F:I,3,0)</f>
        <v>415</v>
      </c>
      <c r="F136" s="47" t="str">
        <f>VLOOKUP(A136,'[1]Global Roaming'!F:I,4,0)</f>
        <v>01</v>
      </c>
      <c r="G136" s="48" t="str">
        <f>VLOOKUP(A136,'[1]Global Roaming'!F:Z,21,0)</f>
        <v>Bilateral</v>
      </c>
      <c r="H136" s="48" t="str">
        <f>VLOOKUP(A136,'[1]Global Roaming'!F:L,7,0)</f>
        <v>YES</v>
      </c>
      <c r="I136" s="48" t="str">
        <f>VLOOKUP(A136,'[1]Global Roaming'!F:P,11,0)</f>
        <v>YES</v>
      </c>
      <c r="J136" s="22" t="str">
        <f>VLOOKUP(A136,'[1]Global Roaming'!F:T,15,0)</f>
        <v>YES</v>
      </c>
    </row>
    <row r="137" spans="1:10" customFormat="1" ht="15.75" thickBot="1" x14ac:dyDescent="0.3">
      <c r="A137" s="71" t="s">
        <v>260</v>
      </c>
      <c r="B137" s="200"/>
      <c r="C137" s="87" t="s">
        <v>261</v>
      </c>
      <c r="D137" s="72">
        <v>100</v>
      </c>
      <c r="E137" s="60" t="str">
        <f>VLOOKUP(A137,'[1]Global Roaming'!F:I,3,0)</f>
        <v>415</v>
      </c>
      <c r="F137" s="60" t="str">
        <f>VLOOKUP(A137,'[1]Global Roaming'!F:I,4,0)</f>
        <v>03</v>
      </c>
      <c r="G137" s="66" t="str">
        <f>VLOOKUP(A137,'[1]Global Roaming'!F:Z,21,0)</f>
        <v>Bilateral</v>
      </c>
      <c r="H137" s="66" t="str">
        <f>VLOOKUP(A137,'[1]Global Roaming'!F:L,7,0)</f>
        <v>YES</v>
      </c>
      <c r="I137" s="66" t="str">
        <f>VLOOKUP(A137,'[1]Global Roaming'!F:P,11,0)</f>
        <v>YES</v>
      </c>
      <c r="J137" s="26">
        <f>VLOOKUP(A137,'[1]Global Roaming'!F:T,15,0)</f>
        <v>0</v>
      </c>
    </row>
    <row r="138" spans="1:10" customFormat="1" x14ac:dyDescent="0.25">
      <c r="A138" s="21" t="s">
        <v>266</v>
      </c>
      <c r="B138" s="198" t="s">
        <v>265</v>
      </c>
      <c r="C138" s="103" t="s">
        <v>267</v>
      </c>
      <c r="D138" s="44">
        <v>100</v>
      </c>
      <c r="E138" s="47" t="str">
        <f>VLOOKUP(A138,'[1]Global Roaming'!F:I,3,0)</f>
        <v>623</v>
      </c>
      <c r="F138" s="47" t="str">
        <f>VLOOKUP(A138,'[1]Global Roaming'!F:I,4,0)</f>
        <v>03</v>
      </c>
      <c r="G138" s="48" t="str">
        <f>VLOOKUP(A138,'[1]Global Roaming'!F:Z,21,0)</f>
        <v>Orange Hub</v>
      </c>
      <c r="H138" s="48" t="str">
        <f>VLOOKUP(A138,'[1]Global Roaming'!F:L,7,0)</f>
        <v>YES</v>
      </c>
      <c r="I138" s="48" t="str">
        <f>VLOOKUP(A138,'[1]Global Roaming'!F:P,11,0)</f>
        <v>YES</v>
      </c>
      <c r="J138" s="22" t="str">
        <f>VLOOKUP(A138,'[1]Global Roaming'!F:T,15,0)</f>
        <v>N.A</v>
      </c>
    </row>
    <row r="139" spans="1:10" customFormat="1" ht="15.75" thickBot="1" x14ac:dyDescent="0.3">
      <c r="A139" s="71" t="s">
        <v>268</v>
      </c>
      <c r="B139" s="200"/>
      <c r="C139" s="98" t="s">
        <v>269</v>
      </c>
      <c r="D139" s="72" t="s">
        <v>43</v>
      </c>
      <c r="E139" s="60" t="e">
        <f>VLOOKUP(A139,'[1]Global Roaming'!F:I,3,0)</f>
        <v>#N/A</v>
      </c>
      <c r="F139" s="60" t="e">
        <f>VLOOKUP(A139,'[1]Global Roaming'!F:I,4,0)</f>
        <v>#N/A</v>
      </c>
      <c r="G139" s="66" t="e">
        <f>VLOOKUP(A139,'[1]Global Roaming'!F:Z,21,0)</f>
        <v>#N/A</v>
      </c>
      <c r="H139" s="66" t="e">
        <f>VLOOKUP(A139,'[1]Global Roaming'!F:L,7,0)</f>
        <v>#N/A</v>
      </c>
      <c r="I139" s="66" t="e">
        <f>VLOOKUP(A139,'[1]Global Roaming'!F:P,11,0)</f>
        <v>#N/A</v>
      </c>
      <c r="J139" s="26" t="e">
        <f>VLOOKUP(A139,'[1]Global Roaming'!F:T,15,0)</f>
        <v>#N/A</v>
      </c>
    </row>
    <row r="140" spans="1:10" customFormat="1" x14ac:dyDescent="0.25">
      <c r="A140" s="21" t="s">
        <v>271</v>
      </c>
      <c r="B140" s="198" t="s">
        <v>270</v>
      </c>
      <c r="C140" s="103" t="s">
        <v>273</v>
      </c>
      <c r="D140" s="44">
        <v>100</v>
      </c>
      <c r="E140" s="47" t="str">
        <f>VLOOKUP(A140,'[1]Global Roaming'!F:I,3,0)</f>
        <v>652</v>
      </c>
      <c r="F140" s="47" t="str">
        <f>VLOOKUP(A140,'[1]Global Roaming'!F:I,4,0)</f>
        <v>02</v>
      </c>
      <c r="G140" s="48" t="str">
        <f>VLOOKUP(A140,'[1]Global Roaming'!F:Z,21,0)</f>
        <v>Orange Hub</v>
      </c>
      <c r="H140" s="48" t="str">
        <f>VLOOKUP(A140,'[1]Global Roaming'!F:L,7,0)</f>
        <v>YES</v>
      </c>
      <c r="I140" s="48" t="str">
        <f>VLOOKUP(A140,'[1]Global Roaming'!F:P,11,0)</f>
        <v>YES</v>
      </c>
      <c r="J140" s="22" t="str">
        <f>VLOOKUP(A140,'[1]Global Roaming'!F:T,15,0)</f>
        <v>YES</v>
      </c>
    </row>
    <row r="141" spans="1:10" customFormat="1" x14ac:dyDescent="0.25">
      <c r="A141" s="49" t="s">
        <v>272</v>
      </c>
      <c r="B141" s="199"/>
      <c r="C141" s="97" t="s">
        <v>274</v>
      </c>
      <c r="D141" s="42" t="s">
        <v>43</v>
      </c>
      <c r="E141" s="41" t="str">
        <f>VLOOKUP(A141,'[1]Global Roaming'!F:I,3,0)</f>
        <v>652</v>
      </c>
      <c r="F141" s="41" t="str">
        <f>VLOOKUP(A141,'[1]Global Roaming'!F:I,4,0)</f>
        <v>04</v>
      </c>
      <c r="G141" s="42" t="str">
        <f>VLOOKUP(A141,'[1]Global Roaming'!F:Z,21,0)</f>
        <v>Comfone</v>
      </c>
      <c r="H141" s="42" t="str">
        <f>VLOOKUP(A141,'[1]Global Roaming'!F:L,7,0)</f>
        <v>YES</v>
      </c>
      <c r="I141" s="42" t="str">
        <f>VLOOKUP(A141,'[1]Global Roaming'!F:P,11,0)</f>
        <v>YES</v>
      </c>
      <c r="J141" s="2" t="str">
        <f>VLOOKUP(A141,'[1]Global Roaming'!F:T,15,0)</f>
        <v>YES</v>
      </c>
    </row>
    <row r="142" spans="1:10" customFormat="1" ht="15.75" thickBot="1" x14ac:dyDescent="0.3">
      <c r="A142" s="50" t="s">
        <v>307</v>
      </c>
      <c r="B142" s="201"/>
      <c r="C142" s="104" t="s">
        <v>308</v>
      </c>
      <c r="D142" s="67" t="s">
        <v>43</v>
      </c>
      <c r="E142" s="68" t="str">
        <f>VLOOKUP(A142,'[1]Global Roaming'!F:I,3,0)</f>
        <v>652</v>
      </c>
      <c r="F142" s="68" t="str">
        <f>VLOOKUP(A142,'[1]Global Roaming'!F:I,4,0)</f>
        <v>01</v>
      </c>
      <c r="G142" s="67" t="str">
        <f>VLOOKUP(A142,'[1]Global Roaming'!F:Z,21,0)</f>
        <v>Comfone</v>
      </c>
      <c r="H142" s="67" t="str">
        <f>VLOOKUP(A142,'[1]Global Roaming'!F:L,7,0)</f>
        <v>YES</v>
      </c>
      <c r="I142" s="67" t="str">
        <f>VLOOKUP(A142,'[1]Global Roaming'!F:P,11,0)</f>
        <v>YES</v>
      </c>
      <c r="J142" s="3" t="str">
        <f>VLOOKUP(A142,'[1]Global Roaming'!F:T,15,0)</f>
        <v>YES</v>
      </c>
    </row>
    <row r="143" spans="1:10" customFormat="1" ht="15.75" thickBot="1" x14ac:dyDescent="0.3">
      <c r="A143" s="38" t="s">
        <v>276</v>
      </c>
      <c r="B143" s="209" t="s">
        <v>275</v>
      </c>
      <c r="C143" s="99" t="s">
        <v>278</v>
      </c>
      <c r="D143" s="15">
        <v>100</v>
      </c>
      <c r="E143" s="8" t="str">
        <f>VLOOKUP(A143,'[1]Global Roaming'!F:I,3,0)</f>
        <v>614</v>
      </c>
      <c r="F143" s="8" t="str">
        <f>VLOOKUP(A143,'[1]Global Roaming'!F:I,4,0)</f>
        <v>04</v>
      </c>
      <c r="G143" s="25" t="str">
        <f>VLOOKUP(A143,'[1]Global Roaming'!F:Z,21,0)</f>
        <v>Orange Hub</v>
      </c>
      <c r="H143" s="25" t="str">
        <f>VLOOKUP(A143,'[1]Global Roaming'!F:L,7,0)</f>
        <v>YES</v>
      </c>
      <c r="I143" s="25" t="str">
        <f>VLOOKUP(A143,'[1]Global Roaming'!F:P,11,0)</f>
        <v>YES</v>
      </c>
      <c r="J143" s="25">
        <f>VLOOKUP(A143,'[1]Global Roaming'!F:T,15,0)</f>
        <v>0</v>
      </c>
    </row>
    <row r="144" spans="1:10" customFormat="1" ht="15.75" thickBot="1" x14ac:dyDescent="0.3">
      <c r="A144" s="40" t="s">
        <v>277</v>
      </c>
      <c r="B144" s="200"/>
      <c r="C144" s="98" t="s">
        <v>279</v>
      </c>
      <c r="D144" s="5" t="s">
        <v>43</v>
      </c>
      <c r="E144" s="13" t="str">
        <f>VLOOKUP(A144,'[1]Global Roaming'!F:I,3,0)</f>
        <v>614</v>
      </c>
      <c r="F144" s="13" t="str">
        <f>VLOOKUP(A144,'[1]Global Roaming'!F:I,4,0)</f>
        <v>03</v>
      </c>
      <c r="G144" s="26" t="str">
        <f>VLOOKUP(A144,'[1]Global Roaming'!F:Z,21,0)</f>
        <v>Comfone</v>
      </c>
      <c r="H144" s="26" t="str">
        <f>VLOOKUP(A144,'[1]Global Roaming'!F:L,7,0)</f>
        <v>YES</v>
      </c>
      <c r="I144" s="26" t="str">
        <f>VLOOKUP(A144,'[1]Global Roaming'!F:P,11,0)</f>
        <v>YES</v>
      </c>
      <c r="J144" s="26">
        <f>VLOOKUP(A144,'[1]Global Roaming'!F:T,15,0)</f>
        <v>0</v>
      </c>
    </row>
    <row r="145" spans="1:10" customFormat="1" x14ac:dyDescent="0.25">
      <c r="A145" s="174" t="s">
        <v>281</v>
      </c>
      <c r="B145" s="212" t="s">
        <v>280</v>
      </c>
      <c r="C145" s="175" t="s">
        <v>283</v>
      </c>
      <c r="D145" s="176">
        <v>0</v>
      </c>
      <c r="E145" s="177" t="str">
        <f>VLOOKUP(A145,'[1]Global Roaming'!F:I,3,0)</f>
        <v>619</v>
      </c>
      <c r="F145" s="177" t="str">
        <f>VLOOKUP(A145,'[1]Global Roaming'!F:I,4,0)</f>
        <v>05</v>
      </c>
      <c r="G145" s="178" t="str">
        <f>VLOOKUP(A145,'[1]Global Roaming'!F:Z,21,0)</f>
        <v>Bilateral</v>
      </c>
      <c r="H145" s="178" t="str">
        <f>VLOOKUP(A145,'[1]Global Roaming'!F:L,7,0)</f>
        <v>YES</v>
      </c>
      <c r="I145" s="178" t="str">
        <f>VLOOKUP(A145,'[1]Global Roaming'!F:P,11,0)</f>
        <v>YES</v>
      </c>
      <c r="J145" s="179" t="str">
        <f>VLOOKUP(A145,'[1]Global Roaming'!F:T,15,0)</f>
        <v>YES</v>
      </c>
    </row>
    <row r="146" spans="1:10" customFormat="1" ht="15.75" thickBot="1" x14ac:dyDescent="0.3">
      <c r="A146" s="180" t="s">
        <v>282</v>
      </c>
      <c r="B146" s="213"/>
      <c r="C146" s="181" t="s">
        <v>284</v>
      </c>
      <c r="D146" s="182">
        <v>100</v>
      </c>
      <c r="E146" s="183" t="str">
        <f>VLOOKUP(A146,'[1]Global Roaming'!F:I,3,0)</f>
        <v>619</v>
      </c>
      <c r="F146" s="183" t="str">
        <f>VLOOKUP(A146,'[1]Global Roaming'!F:I,4,0)</f>
        <v>01</v>
      </c>
      <c r="G146" s="184" t="str">
        <f>VLOOKUP(A146,'[1]Global Roaming'!F:Z,21,0)</f>
        <v>Orange Hub</v>
      </c>
      <c r="H146" s="184" t="str">
        <f>VLOOKUP(A146,'[1]Global Roaming'!F:L,7,0)</f>
        <v>YES</v>
      </c>
      <c r="I146" s="184" t="str">
        <f>VLOOKUP(A146,'[1]Global Roaming'!F:P,11,0)</f>
        <v>YES</v>
      </c>
      <c r="J146" s="185" t="str">
        <f>VLOOKUP(A146,'[1]Global Roaming'!F:T,15,0)</f>
        <v>N.A</v>
      </c>
    </row>
    <row r="147" spans="1:10" customFormat="1" ht="15.75" thickBot="1" x14ac:dyDescent="0.3">
      <c r="A147" s="38" t="s">
        <v>286</v>
      </c>
      <c r="B147" s="209" t="s">
        <v>285</v>
      </c>
      <c r="C147" s="99" t="s">
        <v>288</v>
      </c>
      <c r="D147" s="15" t="s">
        <v>43</v>
      </c>
      <c r="E147" s="8" t="str">
        <f>VLOOKUP(A147,'[1]Global Roaming'!F:I,3,0)</f>
        <v>613</v>
      </c>
      <c r="F147" s="8" t="str">
        <f>VLOOKUP(A147,'[1]Global Roaming'!F:I,4,0)</f>
        <v>01</v>
      </c>
      <c r="G147" s="25" t="str">
        <f>VLOOKUP(A147,'[1]Global Roaming'!F:Z,21,0)</f>
        <v>Comfone</v>
      </c>
      <c r="H147" s="25" t="str">
        <f>VLOOKUP(A147,'[1]Global Roaming'!F:L,7,0)</f>
        <v>YES</v>
      </c>
      <c r="I147" s="25" t="str">
        <f>VLOOKUP(A147,'[1]Global Roaming'!F:P,11,0)</f>
        <v>YES</v>
      </c>
      <c r="J147" s="25">
        <f>VLOOKUP(A147,'[1]Global Roaming'!F:T,15,0)</f>
        <v>0</v>
      </c>
    </row>
    <row r="148" spans="1:10" customFormat="1" ht="15.75" thickBot="1" x14ac:dyDescent="0.3">
      <c r="A148" s="21" t="s">
        <v>287</v>
      </c>
      <c r="B148" s="200"/>
      <c r="C148" s="98" t="s">
        <v>289</v>
      </c>
      <c r="D148" s="5">
        <v>100</v>
      </c>
      <c r="E148" s="13" t="str">
        <f>VLOOKUP(A148,'[1]Global Roaming'!F:I,3,0)</f>
        <v>613</v>
      </c>
      <c r="F148" s="13" t="str">
        <f>VLOOKUP(A148,'[1]Global Roaming'!F:I,4,0)</f>
        <v>02</v>
      </c>
      <c r="G148" s="26" t="str">
        <f>VLOOKUP(A148,'[1]Global Roaming'!F:Z,21,0)</f>
        <v>Orange Hub</v>
      </c>
      <c r="H148" s="26" t="str">
        <f>VLOOKUP(A148,'[1]Global Roaming'!F:L,7,0)</f>
        <v>YES</v>
      </c>
      <c r="I148" s="26" t="str">
        <f>VLOOKUP(A148,'[1]Global Roaming'!F:P,11,0)</f>
        <v>YES</v>
      </c>
      <c r="J148" s="26" t="str">
        <f>VLOOKUP(A148,'[1]Global Roaming'!F:T,15,0)</f>
        <v>YES</v>
      </c>
    </row>
    <row r="149" spans="1:10" customFormat="1" ht="15.75" thickBot="1" x14ac:dyDescent="0.3">
      <c r="A149" s="21" t="s">
        <v>314</v>
      </c>
      <c r="B149" s="199" t="s">
        <v>311</v>
      </c>
      <c r="C149" s="97" t="s">
        <v>312</v>
      </c>
      <c r="D149" s="2">
        <v>90</v>
      </c>
      <c r="E149" s="9" t="str">
        <f>VLOOKUP(A149,'[1]Global Roaming'!F:I,3,0)</f>
        <v>426</v>
      </c>
      <c r="F149" s="9" t="str">
        <f>VLOOKUP(A149,'[1]Global Roaming'!F:I,4,0)</f>
        <v>04</v>
      </c>
      <c r="G149" s="23" t="str">
        <f>VLOOKUP(A149,'[1]Global Roaming'!F:Z,21,0)</f>
        <v>Bilateral</v>
      </c>
      <c r="H149" s="23" t="str">
        <f>VLOOKUP(A149,'[1]Global Roaming'!F:L,7,0)</f>
        <v>YES</v>
      </c>
      <c r="I149" s="23" t="str">
        <f>VLOOKUP(A149,'[1]Global Roaming'!F:P,11,0)</f>
        <v>YES</v>
      </c>
      <c r="J149" s="23" t="str">
        <f>VLOOKUP(A149,'[1]Global Roaming'!F:T,15,0)</f>
        <v>YES</v>
      </c>
    </row>
    <row r="150" spans="1:10" customFormat="1" ht="15.75" thickBot="1" x14ac:dyDescent="0.3">
      <c r="A150" s="21" t="s">
        <v>315</v>
      </c>
      <c r="B150" s="200"/>
      <c r="C150" s="98" t="s">
        <v>313</v>
      </c>
      <c r="D150" s="5">
        <v>10</v>
      </c>
      <c r="E150" s="13" t="str">
        <f>VLOOKUP(A150,'[1]Global Roaming'!F:I,3,0)</f>
        <v>426</v>
      </c>
      <c r="F150" s="13" t="str">
        <f>VLOOKUP(A150,'[1]Global Roaming'!F:I,4,0)</f>
        <v>02</v>
      </c>
      <c r="G150" s="26" t="str">
        <f>VLOOKUP(A150,'[1]Global Roaming'!F:Z,21,0)</f>
        <v>Bilateral</v>
      </c>
      <c r="H150" s="26" t="str">
        <f>VLOOKUP(A150,'[1]Global Roaming'!F:L,7,0)</f>
        <v>YES</v>
      </c>
      <c r="I150" s="26" t="str">
        <f>VLOOKUP(A150,'[1]Global Roaming'!F:P,11,0)</f>
        <v>YES</v>
      </c>
      <c r="J150" s="26" t="str">
        <f>VLOOKUP(A150,'[1]Global Roaming'!F:T,15,0)</f>
        <v>YES</v>
      </c>
    </row>
    <row r="151" spans="1:10" customFormat="1" ht="15.75" thickBot="1" x14ac:dyDescent="0.3">
      <c r="A151" s="21" t="s">
        <v>319</v>
      </c>
      <c r="B151" s="198" t="s">
        <v>318</v>
      </c>
      <c r="C151" s="100" t="s">
        <v>322</v>
      </c>
      <c r="D151" s="1">
        <v>100</v>
      </c>
      <c r="E151" s="12" t="str">
        <f>VLOOKUP(A151,'[1]Global Roaming'!F:I,3,0)</f>
        <v>259</v>
      </c>
      <c r="F151" s="12" t="str">
        <f>VLOOKUP(A151,'[1]Global Roaming'!F:I,4,0)</f>
        <v>01</v>
      </c>
      <c r="G151" s="22" t="str">
        <f>VLOOKUP(A151,'[1]Global Roaming'!F:Z,21,0)</f>
        <v>Orange Hub</v>
      </c>
      <c r="H151" s="22" t="str">
        <f>VLOOKUP(A151,'[1]Global Roaming'!F:L,7,0)</f>
        <v>YES</v>
      </c>
      <c r="I151" s="22" t="str">
        <f>VLOOKUP(A151,'[1]Global Roaming'!F:P,11,0)</f>
        <v>YES</v>
      </c>
      <c r="J151" s="22" t="str">
        <f>VLOOKUP(A151,'[1]Global Roaming'!F:T,15,0)</f>
        <v>YES</v>
      </c>
    </row>
    <row r="152" spans="1:10" customFormat="1" ht="15.75" thickBot="1" x14ac:dyDescent="0.3">
      <c r="A152" s="21" t="s">
        <v>320</v>
      </c>
      <c r="B152" s="199"/>
      <c r="C152" s="101" t="s">
        <v>323</v>
      </c>
      <c r="D152" s="2" t="s">
        <v>43</v>
      </c>
      <c r="E152" s="9" t="str">
        <f>VLOOKUP(A152,'[1]Global Roaming'!F:I,3,0)</f>
        <v>259</v>
      </c>
      <c r="F152" s="9" t="str">
        <f>VLOOKUP(A152,'[1]Global Roaming'!F:I,4,0)</f>
        <v>02</v>
      </c>
      <c r="G152" s="23" t="str">
        <f>VLOOKUP(A152,'[1]Global Roaming'!F:Z,21,0)</f>
        <v>Comfone</v>
      </c>
      <c r="H152" s="23" t="str">
        <f>VLOOKUP(A152,'[1]Global Roaming'!F:L,7,0)</f>
        <v>YES</v>
      </c>
      <c r="I152" s="23" t="str">
        <f>VLOOKUP(A152,'[1]Global Roaming'!F:P,11,0)</f>
        <v>YES</v>
      </c>
      <c r="J152" s="23" t="str">
        <f>VLOOKUP(A152,'[1]Global Roaming'!F:T,15,0)</f>
        <v>YES</v>
      </c>
    </row>
    <row r="153" spans="1:10" customFormat="1" ht="15.75" thickBot="1" x14ac:dyDescent="0.3">
      <c r="A153" s="21" t="s">
        <v>321</v>
      </c>
      <c r="B153" s="200"/>
      <c r="C153" s="102" t="s">
        <v>324</v>
      </c>
      <c r="D153" s="5">
        <v>0</v>
      </c>
      <c r="E153" s="13" t="str">
        <f>VLOOKUP(A153,'[1]Global Roaming'!F:I,3,0)</f>
        <v>259</v>
      </c>
      <c r="F153" s="13" t="str">
        <f>VLOOKUP(A153,'[1]Global Roaming'!F:I,4,0)</f>
        <v>05</v>
      </c>
      <c r="G153" s="26" t="str">
        <f>VLOOKUP(A153,'[1]Global Roaming'!F:Z,21,0)</f>
        <v>Comfone</v>
      </c>
      <c r="H153" s="26" t="str">
        <f>VLOOKUP(A153,'[1]Global Roaming'!F:L,7,0)</f>
        <v>YES</v>
      </c>
      <c r="I153" s="26" t="str">
        <f>VLOOKUP(A153,'[1]Global Roaming'!F:P,11,0)</f>
        <v>YES</v>
      </c>
      <c r="J153" s="26" t="str">
        <f>VLOOKUP(A153,'[1]Global Roaming'!F:T,15,0)</f>
        <v>YES</v>
      </c>
    </row>
    <row r="154" spans="1:10" customFormat="1" ht="15.75" thickBot="1" x14ac:dyDescent="0.3">
      <c r="A154" s="21" t="s">
        <v>327</v>
      </c>
      <c r="B154" s="198" t="s">
        <v>329</v>
      </c>
      <c r="C154" s="103" t="s">
        <v>325</v>
      </c>
      <c r="D154" s="1">
        <v>90</v>
      </c>
      <c r="E154" s="12" t="str">
        <f>VLOOKUP(A154,'[1]Global Roaming'!F:I,3,0)</f>
        <v>610</v>
      </c>
      <c r="F154" s="12" t="str">
        <f>VLOOKUP(A154,'[1]Global Roaming'!F:I,4,0)</f>
        <v>02</v>
      </c>
      <c r="G154" s="22" t="str">
        <f>VLOOKUP(A154,'[1]Global Roaming'!F:Z,21,0)</f>
        <v>Orange Hub</v>
      </c>
      <c r="H154" s="22" t="str">
        <f>VLOOKUP(A154,'[1]Global Roaming'!F:L,7,0)</f>
        <v>YES</v>
      </c>
      <c r="I154" s="22" t="str">
        <f>VLOOKUP(A154,'[1]Global Roaming'!F:P,11,0)</f>
        <v>YES</v>
      </c>
      <c r="J154" s="22" t="str">
        <f>VLOOKUP(A154,'[1]Global Roaming'!F:T,15,0)</f>
        <v>YES</v>
      </c>
    </row>
    <row r="155" spans="1:10" customFormat="1" ht="15.75" thickBot="1" x14ac:dyDescent="0.3">
      <c r="A155" s="21" t="s">
        <v>328</v>
      </c>
      <c r="B155" s="201"/>
      <c r="C155" s="104" t="s">
        <v>326</v>
      </c>
      <c r="D155" s="3">
        <v>10</v>
      </c>
      <c r="E155" s="10" t="str">
        <f>VLOOKUP(A155,'[1]Global Roaming'!F:I,3,0)</f>
        <v>610</v>
      </c>
      <c r="F155" s="10" t="str">
        <f>VLOOKUP(A155,'[1]Global Roaming'!F:I,4,0)</f>
        <v>01</v>
      </c>
      <c r="G155" s="24" t="str">
        <f>VLOOKUP(A155,'[1]Global Roaming'!F:Z,21,0)</f>
        <v>Bilateral</v>
      </c>
      <c r="H155" s="24" t="str">
        <f>VLOOKUP(A155,'[1]Global Roaming'!F:L,7,0)</f>
        <v>YES</v>
      </c>
      <c r="I155" s="24" t="str">
        <f>VLOOKUP(A155,'[1]Global Roaming'!F:P,11,0)</f>
        <v>Arrêté</v>
      </c>
      <c r="J155" s="24" t="str">
        <f>VLOOKUP(A155,'[1]Global Roaming'!F:T,15,0)</f>
        <v>YES</v>
      </c>
    </row>
    <row r="156" spans="1:10" customFormat="1" ht="15.75" thickBot="1" x14ac:dyDescent="0.3">
      <c r="A156" s="21" t="s">
        <v>330</v>
      </c>
      <c r="B156" s="210" t="s">
        <v>333</v>
      </c>
      <c r="C156" s="100" t="s">
        <v>334</v>
      </c>
      <c r="D156" s="1">
        <v>0</v>
      </c>
      <c r="E156" s="12" t="str">
        <f>VLOOKUP(A156,'[1]Global Roaming'!F:I,3,0)</f>
        <v>272</v>
      </c>
      <c r="F156" s="12" t="str">
        <f>VLOOKUP(A156,'[1]Global Roaming'!F:I,4,0)</f>
        <v>03</v>
      </c>
      <c r="G156" s="22" t="str">
        <f>VLOOKUP(A156,'[1]Global Roaming'!F:Z,21,0)</f>
        <v>Comfone</v>
      </c>
      <c r="H156" s="22" t="str">
        <f>VLOOKUP(A156,'[1]Global Roaming'!F:L,7,0)</f>
        <v>YES</v>
      </c>
      <c r="I156" s="22" t="str">
        <f>VLOOKUP(A156,'[1]Global Roaming'!F:P,11,0)</f>
        <v>YES</v>
      </c>
      <c r="J156" s="22" t="str">
        <f>VLOOKUP(A156,'[1]Global Roaming'!F:T,15,0)</f>
        <v>YES</v>
      </c>
    </row>
    <row r="157" spans="1:10" customFormat="1" ht="15.75" thickBot="1" x14ac:dyDescent="0.3">
      <c r="A157" s="21" t="s">
        <v>331</v>
      </c>
      <c r="B157" s="208"/>
      <c r="C157" s="101" t="s">
        <v>336</v>
      </c>
      <c r="D157" s="2" t="s">
        <v>10</v>
      </c>
      <c r="E157" s="9" t="str">
        <f>VLOOKUP(A157,'[1]Global Roaming'!F:I,3,0)</f>
        <v>272</v>
      </c>
      <c r="F157" s="9" t="str">
        <f>VLOOKUP(A157,'[1]Global Roaming'!F:I,4,0)</f>
        <v>02</v>
      </c>
      <c r="G157" s="23" t="str">
        <f>VLOOKUP(A157,'[1]Global Roaming'!F:Z,21,0)</f>
        <v>Bilateral</v>
      </c>
      <c r="H157" s="23" t="str">
        <f>VLOOKUP(A157,'[1]Global Roaming'!F:L,7,0)</f>
        <v>YES</v>
      </c>
      <c r="I157" s="23" t="str">
        <f>VLOOKUP(A157,'[1]Global Roaming'!F:P,11,0)</f>
        <v>YES</v>
      </c>
      <c r="J157" s="23">
        <f>VLOOKUP(A157,'[1]Global Roaming'!F:T,15,0)</f>
        <v>0</v>
      </c>
    </row>
    <row r="158" spans="1:10" customFormat="1" ht="15.75" thickBot="1" x14ac:dyDescent="0.3">
      <c r="A158" s="21" t="s">
        <v>332</v>
      </c>
      <c r="B158" s="211"/>
      <c r="C158" s="105" t="s">
        <v>335</v>
      </c>
      <c r="D158" s="3">
        <v>100</v>
      </c>
      <c r="E158" s="10" t="str">
        <f>VLOOKUP(A158,'[1]Global Roaming'!F:I,3,0)</f>
        <v>272</v>
      </c>
      <c r="F158" s="10" t="str">
        <f>VLOOKUP(A158,'[1]Global Roaming'!F:I,4,0)</f>
        <v>01</v>
      </c>
      <c r="G158" s="24" t="str">
        <f>VLOOKUP(A158,'[1]Global Roaming'!F:Z,21,0)</f>
        <v>Orange Hub</v>
      </c>
      <c r="H158" s="24" t="str">
        <f>VLOOKUP(A158,'[1]Global Roaming'!F:L,7,0)</f>
        <v>YES</v>
      </c>
      <c r="I158" s="24" t="str">
        <f>VLOOKUP(A158,'[1]Global Roaming'!F:P,11,0)</f>
        <v>Arrêté</v>
      </c>
      <c r="J158" s="24" t="str">
        <f>VLOOKUP(A158,'[1]Global Roaming'!F:T,15,0)</f>
        <v>YES</v>
      </c>
    </row>
    <row r="159" spans="1:10" customFormat="1" ht="15.75" thickBot="1" x14ac:dyDescent="0.3">
      <c r="A159" s="21" t="s">
        <v>341</v>
      </c>
      <c r="B159" s="198" t="s">
        <v>337</v>
      </c>
      <c r="C159" s="103" t="s">
        <v>338</v>
      </c>
      <c r="D159" s="1">
        <v>20</v>
      </c>
      <c r="E159" s="12" t="str">
        <f>VLOOKUP(A159,'[1]Global Roaming'!F:I,3,0)</f>
        <v>510</v>
      </c>
      <c r="F159" s="12" t="str">
        <f>VLOOKUP(A159,'[1]Global Roaming'!F:I,4,0)</f>
        <v>89</v>
      </c>
      <c r="G159" s="22" t="str">
        <f>VLOOKUP(A159,'[1]Global Roaming'!F:Z,21,0)</f>
        <v>Bilateral</v>
      </c>
      <c r="H159" s="22" t="str">
        <f>VLOOKUP(A159,'[1]Global Roaming'!F:L,7,0)</f>
        <v>YES</v>
      </c>
      <c r="I159" s="22" t="str">
        <f>VLOOKUP(A159,'[1]Global Roaming'!F:P,11,0)</f>
        <v>YES</v>
      </c>
      <c r="J159" s="22" t="str">
        <f>VLOOKUP(A159,'[1]Global Roaming'!F:T,15,0)</f>
        <v>YES</v>
      </c>
    </row>
    <row r="160" spans="1:10" customFormat="1" ht="15.75" thickBot="1" x14ac:dyDescent="0.3">
      <c r="A160" s="21" t="s">
        <v>342</v>
      </c>
      <c r="B160" s="199"/>
      <c r="C160" s="97" t="s">
        <v>339</v>
      </c>
      <c r="D160" s="2">
        <v>80</v>
      </c>
      <c r="E160" s="9" t="str">
        <f>VLOOKUP(A160,'[1]Global Roaming'!F:I,3,0)</f>
        <v>510</v>
      </c>
      <c r="F160" s="9" t="str">
        <f>VLOOKUP(A160,'[1]Global Roaming'!F:I,4,0)</f>
        <v>01</v>
      </c>
      <c r="G160" s="23" t="str">
        <f>VLOOKUP(A160,'[1]Global Roaming'!F:Z,21,0)</f>
        <v>Comfone</v>
      </c>
      <c r="H160" s="23" t="str">
        <f>VLOOKUP(A160,'[1]Global Roaming'!F:L,7,0)</f>
        <v>YES</v>
      </c>
      <c r="I160" s="23" t="str">
        <f>VLOOKUP(A160,'[1]Global Roaming'!F:P,11,0)</f>
        <v>Arrêté</v>
      </c>
      <c r="J160" s="23" t="str">
        <f>VLOOKUP(A160,'[1]Global Roaming'!F:T,15,0)</f>
        <v>YES</v>
      </c>
    </row>
    <row r="161" spans="1:10" customFormat="1" ht="15.75" thickBot="1" x14ac:dyDescent="0.3">
      <c r="A161" s="21" t="s">
        <v>343</v>
      </c>
      <c r="B161" s="201"/>
      <c r="C161" s="104" t="s">
        <v>340</v>
      </c>
      <c r="D161" s="3" t="s">
        <v>43</v>
      </c>
      <c r="E161" s="10" t="str">
        <f>VLOOKUP(A161,'[1]Global Roaming'!F:I,3,0)</f>
        <v>510</v>
      </c>
      <c r="F161" s="10" t="str">
        <f>VLOOKUP(A161,'[1]Global Roaming'!F:I,4,0)</f>
        <v>10</v>
      </c>
      <c r="G161" s="24" t="str">
        <f>VLOOKUP(A161,'[1]Global Roaming'!F:Z,21,0)</f>
        <v>Bilateral</v>
      </c>
      <c r="H161" s="24" t="str">
        <f>VLOOKUP(A161,'[1]Global Roaming'!F:L,7,0)</f>
        <v>YES</v>
      </c>
      <c r="I161" s="24" t="str">
        <f>VLOOKUP(A161,'[1]Global Roaming'!F:P,11,0)</f>
        <v>Arrêté</v>
      </c>
      <c r="J161" s="24">
        <f>VLOOKUP(A161,'[1]Global Roaming'!F:T,15,0)</f>
        <v>0</v>
      </c>
    </row>
    <row r="162" spans="1:10" customFormat="1" ht="15.75" thickBot="1" x14ac:dyDescent="0.3">
      <c r="A162" s="21" t="s">
        <v>353</v>
      </c>
      <c r="B162" s="209" t="s">
        <v>354</v>
      </c>
      <c r="C162" s="91" t="s">
        <v>740</v>
      </c>
      <c r="D162" s="2" t="s">
        <v>10</v>
      </c>
      <c r="E162" s="171" t="str">
        <f>VLOOKUP(A162,'[1]Global Roaming'!F:I,3,0)</f>
        <v>276</v>
      </c>
      <c r="F162" s="171" t="str">
        <f>VLOOKUP(A162,'[1]Global Roaming'!F:I,4,0)</f>
        <v>03</v>
      </c>
      <c r="G162" s="15" t="str">
        <f>VLOOKUP(A162,'[1]Global Roaming'!F:Z,21,0)</f>
        <v>Bilateral</v>
      </c>
      <c r="H162" s="15" t="str">
        <f>VLOOKUP(A162,'[1]Global Roaming'!F:L,7,0)</f>
        <v>YES</v>
      </c>
      <c r="I162" s="15" t="str">
        <f>VLOOKUP(A162,'[1]Global Roaming'!F:P,11,0)</f>
        <v>YES</v>
      </c>
      <c r="J162" s="15" t="str">
        <f>VLOOKUP(A162,'[1]Global Roaming'!F:T,15,0)</f>
        <v>YES</v>
      </c>
    </row>
    <row r="163" spans="1:10" customFormat="1" ht="15.75" thickBot="1" x14ac:dyDescent="0.3">
      <c r="A163" s="21" t="s">
        <v>355</v>
      </c>
      <c r="B163" s="199"/>
      <c r="C163" s="92" t="s">
        <v>356</v>
      </c>
      <c r="D163" s="2" t="s">
        <v>43</v>
      </c>
      <c r="E163" s="27" t="str">
        <f>VLOOKUP(A163,'[1]Global Roaming'!F:I,3,0)</f>
        <v>276</v>
      </c>
      <c r="F163" s="27" t="str">
        <f>VLOOKUP(A163,'[1]Global Roaming'!F:I,4,0)</f>
        <v>04</v>
      </c>
      <c r="G163" s="2" t="str">
        <f>VLOOKUP(A163,'[1]Global Roaming'!F:Z,21,0)</f>
        <v>Bilateral</v>
      </c>
      <c r="H163" s="2" t="str">
        <f>VLOOKUP(A163,'[1]Global Roaming'!F:L,7,0)</f>
        <v>YES</v>
      </c>
      <c r="I163" s="2" t="str">
        <f>VLOOKUP(A163,'[1]Global Roaming'!F:P,11,0)</f>
        <v>YES</v>
      </c>
      <c r="J163" s="2">
        <f>VLOOKUP(A163,'[1]Global Roaming'!F:T,15,0)</f>
        <v>0</v>
      </c>
    </row>
    <row r="164" spans="1:10" customFormat="1" ht="15.75" thickBot="1" x14ac:dyDescent="0.3">
      <c r="A164" s="21" t="s">
        <v>357</v>
      </c>
      <c r="B164" s="199"/>
      <c r="C164" s="91" t="s">
        <v>740</v>
      </c>
      <c r="D164" s="2" t="s">
        <v>10</v>
      </c>
      <c r="E164" s="27" t="str">
        <f>VLOOKUP(A164,'[1]Global Roaming'!F:I,3,0)</f>
        <v>276</v>
      </c>
      <c r="F164" s="27" t="str">
        <f>VLOOKUP(A164,'[1]Global Roaming'!F:I,4,0)</f>
        <v>01</v>
      </c>
      <c r="G164" s="2" t="str">
        <f>VLOOKUP(A164,'[1]Global Roaming'!F:Z,21,0)</f>
        <v>Bilateral</v>
      </c>
      <c r="H164" s="2" t="str">
        <f>VLOOKUP(A164,'[1]Global Roaming'!F:L,7,0)</f>
        <v>YES</v>
      </c>
      <c r="I164" s="2" t="str">
        <f>VLOOKUP(A164,'[1]Global Roaming'!F:P,11,0)</f>
        <v>YES</v>
      </c>
      <c r="J164" s="2" t="str">
        <f>VLOOKUP(A164,'[1]Global Roaming'!F:T,15,0)</f>
        <v>YES</v>
      </c>
    </row>
    <row r="165" spans="1:10" customFormat="1" ht="15.75" thickBot="1" x14ac:dyDescent="0.3">
      <c r="A165" s="21" t="s">
        <v>358</v>
      </c>
      <c r="B165" s="200"/>
      <c r="C165" s="93" t="s">
        <v>359</v>
      </c>
      <c r="D165" s="5">
        <v>100</v>
      </c>
      <c r="E165" s="28" t="str">
        <f>VLOOKUP(A165,'[1]Global Roaming'!F:I,3,0)</f>
        <v>276</v>
      </c>
      <c r="F165" s="28" t="str">
        <f>VLOOKUP(A165,'[1]Global Roaming'!F:I,4,0)</f>
        <v>02</v>
      </c>
      <c r="G165" s="5" t="str">
        <f>VLOOKUP(A165,'[1]Global Roaming'!F:Z,21,0)</f>
        <v>Orange Hub</v>
      </c>
      <c r="H165" s="5" t="str">
        <f>VLOOKUP(A165,'[1]Global Roaming'!F:L,7,0)</f>
        <v>YES</v>
      </c>
      <c r="I165" s="5" t="str">
        <f>VLOOKUP(A165,'[1]Global Roaming'!F:P,11,0)</f>
        <v>YES</v>
      </c>
      <c r="J165" s="5" t="str">
        <f>VLOOKUP(A165,'[1]Global Roaming'!F:T,15,0)</f>
        <v>YES</v>
      </c>
    </row>
    <row r="166" spans="1:10" customFormat="1" ht="15.75" thickBot="1" x14ac:dyDescent="0.3">
      <c r="A166" s="21" t="s">
        <v>360</v>
      </c>
      <c r="B166" s="198" t="s">
        <v>361</v>
      </c>
      <c r="C166" s="89" t="s">
        <v>362</v>
      </c>
      <c r="D166" s="1" t="s">
        <v>43</v>
      </c>
      <c r="E166" s="29" t="str">
        <f>VLOOKUP(A166,'[1]Global Roaming'!F:I,3,0)</f>
        <v>722</v>
      </c>
      <c r="F166" s="29" t="str">
        <f>VLOOKUP(A166,'[1]Global Roaming'!F:I,4,0)</f>
        <v>34</v>
      </c>
      <c r="G166" s="1" t="str">
        <f>VLOOKUP(A166,'[1]Global Roaming'!F:Z,21,0)</f>
        <v>Comfone</v>
      </c>
      <c r="H166" s="1" t="str">
        <f>VLOOKUP(A166,'[1]Global Roaming'!F:L,7,0)</f>
        <v>YES</v>
      </c>
      <c r="I166" s="1" t="str">
        <f>VLOOKUP(A166,'[1]Global Roaming'!F:P,11,0)</f>
        <v>YES</v>
      </c>
      <c r="J166" s="1" t="str">
        <f>VLOOKUP(A166,'[1]Global Roaming'!F:T,15,0)</f>
        <v>YES</v>
      </c>
    </row>
    <row r="167" spans="1:10" customFormat="1" ht="15.75" thickBot="1" x14ac:dyDescent="0.3">
      <c r="A167" s="40" t="s">
        <v>363</v>
      </c>
      <c r="B167" s="200"/>
      <c r="C167" s="93" t="s">
        <v>364</v>
      </c>
      <c r="D167" s="5">
        <v>100</v>
      </c>
      <c r="E167" s="28" t="str">
        <f>VLOOKUP(A167,'[1]Global Roaming'!F:I,3,0)</f>
        <v>722</v>
      </c>
      <c r="F167" s="28" t="str">
        <f>VLOOKUP(A167,'[1]Global Roaming'!F:I,4,0)</f>
        <v>07</v>
      </c>
      <c r="G167" s="5" t="str">
        <f>VLOOKUP(A167,'[1]Global Roaming'!F:Z,21,0)</f>
        <v>Bilateral</v>
      </c>
      <c r="H167" s="5" t="str">
        <f>VLOOKUP(A167,'[1]Global Roaming'!F:L,7,0)</f>
        <v>YES</v>
      </c>
      <c r="I167" s="5" t="str">
        <f>VLOOKUP(A167,'[1]Global Roaming'!F:P,11,0)</f>
        <v>YES</v>
      </c>
      <c r="J167" s="5" t="str">
        <f>VLOOKUP(A167,'[1]Global Roaming'!F:T,15,0)</f>
        <v>Planned</v>
      </c>
    </row>
    <row r="168" spans="1:10" customFormat="1" x14ac:dyDescent="0.25">
      <c r="A168" s="21" t="s">
        <v>365</v>
      </c>
      <c r="B168" s="198" t="s">
        <v>651</v>
      </c>
      <c r="C168" s="89" t="s">
        <v>366</v>
      </c>
      <c r="D168" s="78" t="s">
        <v>43</v>
      </c>
      <c r="E168" s="79" t="str">
        <f>VLOOKUP(A168,'[1]Global Roaming'!F:I,3,0)</f>
        <v>283</v>
      </c>
      <c r="F168" s="79" t="str">
        <f>VLOOKUP(A168,'[1]Global Roaming'!F:I,4,0)</f>
        <v>05</v>
      </c>
      <c r="G168" s="78" t="str">
        <f>VLOOKUP(A168,'[1]Global Roaming'!F:Z,21,0)</f>
        <v>Bilateral</v>
      </c>
      <c r="H168" s="78" t="str">
        <f>VLOOKUP(A168,'[1]Global Roaming'!F:L,7,0)</f>
        <v>YES</v>
      </c>
      <c r="I168" s="78" t="str">
        <f>VLOOKUP(A168,'[1]Global Roaming'!F:P,11,0)</f>
        <v>Planned</v>
      </c>
      <c r="J168" s="7" t="str">
        <f>VLOOKUP(A168,'[1]Global Roaming'!F:T,15,0)</f>
        <v>Planned</v>
      </c>
    </row>
    <row r="169" spans="1:10" customFormat="1" x14ac:dyDescent="0.25">
      <c r="A169" s="49" t="s">
        <v>367</v>
      </c>
      <c r="B169" s="199"/>
      <c r="C169" s="92" t="s">
        <v>368</v>
      </c>
      <c r="D169" s="132">
        <v>100</v>
      </c>
      <c r="E169" s="77" t="str">
        <f>VLOOKUP(A169,'[1]Global Roaming'!F:I,3,0)</f>
        <v>283</v>
      </c>
      <c r="F169" s="77" t="str">
        <f>VLOOKUP(A169,'[1]Global Roaming'!F:I,4,0)</f>
        <v>01</v>
      </c>
      <c r="G169" s="132" t="str">
        <f>VLOOKUP(A169,'[1]Global Roaming'!F:Z,21,0)</f>
        <v>Bilateral</v>
      </c>
      <c r="H169" s="132" t="str">
        <f>VLOOKUP(A169,'[1]Global Roaming'!F:L,7,0)</f>
        <v>YES</v>
      </c>
      <c r="I169" s="132" t="str">
        <f>VLOOKUP(A169,'[1]Global Roaming'!F:P,11,0)</f>
        <v>YES</v>
      </c>
      <c r="J169" s="4" t="str">
        <f>VLOOKUP(A169,'[1]Global Roaming'!F:T,15,0)</f>
        <v>YES</v>
      </c>
    </row>
    <row r="170" spans="1:10" customFormat="1" ht="15.75" thickBot="1" x14ac:dyDescent="0.3">
      <c r="A170" s="50" t="s">
        <v>369</v>
      </c>
      <c r="B170" s="201"/>
      <c r="C170" s="90" t="s">
        <v>370</v>
      </c>
      <c r="D170" s="80" t="s">
        <v>43</v>
      </c>
      <c r="E170" s="81" t="str">
        <f>VLOOKUP(A170,'[1]Global Roaming'!F:I,3,0)</f>
        <v>283</v>
      </c>
      <c r="F170" s="81" t="str">
        <f>VLOOKUP(A170,'[1]Global Roaming'!F:I,4,0)</f>
        <v>10</v>
      </c>
      <c r="G170" s="80" t="str">
        <f>VLOOKUP(A170,'[1]Global Roaming'!F:Z,21,0)</f>
        <v>Orange Hub</v>
      </c>
      <c r="H170" s="80" t="str">
        <f>VLOOKUP(A170,'[1]Global Roaming'!F:L,7,0)</f>
        <v>YES</v>
      </c>
      <c r="I170" s="80" t="str">
        <f>VLOOKUP(A170,'[1]Global Roaming'!F:P,11,0)</f>
        <v>YES</v>
      </c>
      <c r="J170" s="6" t="str">
        <f>VLOOKUP(A170,'[1]Global Roaming'!F:T,15,0)</f>
        <v>YES</v>
      </c>
    </row>
    <row r="171" spans="1:10" customFormat="1" ht="15.75" thickBot="1" x14ac:dyDescent="0.3">
      <c r="A171" s="38" t="s">
        <v>371</v>
      </c>
      <c r="B171" s="209" t="s">
        <v>372</v>
      </c>
      <c r="C171" s="91" t="s">
        <v>373</v>
      </c>
      <c r="D171" s="16" t="s">
        <v>10</v>
      </c>
      <c r="E171" s="34" t="str">
        <f>VLOOKUP(A171,'[1]Global Roaming'!F:I,3,0)</f>
        <v>505</v>
      </c>
      <c r="F171" s="34" t="str">
        <f>VLOOKUP(A171,'[1]Global Roaming'!F:I,4,0)</f>
        <v>02</v>
      </c>
      <c r="G171" s="16" t="str">
        <f>VLOOKUP(A171,'[1]Global Roaming'!F:Z,21,0)</f>
        <v>Bilateral</v>
      </c>
      <c r="H171" s="16" t="str">
        <f>VLOOKUP(A171,'[1]Global Roaming'!F:L,7,0)</f>
        <v>Arrêté</v>
      </c>
      <c r="I171" s="16" t="str">
        <f>VLOOKUP(A171,'[1]Global Roaming'!F:P,11,0)</f>
        <v>Arrêté</v>
      </c>
      <c r="J171" s="16" t="str">
        <f>VLOOKUP(A171,'[1]Global Roaming'!F:T,15,0)</f>
        <v>YES</v>
      </c>
    </row>
    <row r="172" spans="1:10" customFormat="1" ht="15.75" thickBot="1" x14ac:dyDescent="0.3">
      <c r="A172" s="21" t="s">
        <v>374</v>
      </c>
      <c r="B172" s="200"/>
      <c r="C172" s="93" t="s">
        <v>375</v>
      </c>
      <c r="D172" s="17">
        <v>100</v>
      </c>
      <c r="E172" s="35" t="str">
        <f>VLOOKUP(A172,'[1]Global Roaming'!F:I,3,0)</f>
        <v>505</v>
      </c>
      <c r="F172" s="35" t="str">
        <f>VLOOKUP(A172,'[1]Global Roaming'!F:I,4,0)</f>
        <v>03</v>
      </c>
      <c r="G172" s="17" t="str">
        <f>VLOOKUP(A172,'[1]Global Roaming'!F:Z,21,0)</f>
        <v>Bilateral</v>
      </c>
      <c r="H172" s="17" t="str">
        <f>VLOOKUP(A172,'[1]Global Roaming'!F:L,7,0)</f>
        <v>YES</v>
      </c>
      <c r="I172" s="17" t="str">
        <f>VLOOKUP(A172,'[1]Global Roaming'!F:P,11,0)</f>
        <v>YES</v>
      </c>
      <c r="J172" s="17">
        <f>VLOOKUP(A172,'[1]Global Roaming'!F:T,15,0)</f>
        <v>0</v>
      </c>
    </row>
    <row r="173" spans="1:10" customFormat="1" ht="15.75" thickBot="1" x14ac:dyDescent="0.3">
      <c r="A173" s="21" t="s">
        <v>376</v>
      </c>
      <c r="B173" s="198" t="s">
        <v>377</v>
      </c>
      <c r="C173" s="89" t="s">
        <v>378</v>
      </c>
      <c r="D173" s="7" t="s">
        <v>43</v>
      </c>
      <c r="E173" s="31" t="str">
        <f>VLOOKUP(A173,'[1]Global Roaming'!F:I,3,0)</f>
        <v>257</v>
      </c>
      <c r="F173" s="31" t="str">
        <f>VLOOKUP(A173,'[1]Global Roaming'!F:I,4,0)</f>
        <v>04</v>
      </c>
      <c r="G173" s="7" t="str">
        <f>VLOOKUP(A173,'[1]Global Roaming'!F:Z,21,0)</f>
        <v>Bilateral</v>
      </c>
      <c r="H173" s="7" t="str">
        <f>VLOOKUP(A173,'[1]Global Roaming'!F:L,7,0)</f>
        <v>YES</v>
      </c>
      <c r="I173" s="7" t="str">
        <f>VLOOKUP(A173,'[1]Global Roaming'!F:P,11,0)</f>
        <v>YES</v>
      </c>
      <c r="J173" s="7" t="str">
        <f>VLOOKUP(A173,'[1]Global Roaming'!F:T,15,0)</f>
        <v>Planned</v>
      </c>
    </row>
    <row r="174" spans="1:10" customFormat="1" ht="15.75" thickBot="1" x14ac:dyDescent="0.3">
      <c r="A174" s="21" t="s">
        <v>379</v>
      </c>
      <c r="B174" s="199"/>
      <c r="C174" s="92" t="s">
        <v>380</v>
      </c>
      <c r="D174" s="4" t="s">
        <v>43</v>
      </c>
      <c r="E174" s="32" t="str">
        <f>VLOOKUP(A174,'[1]Global Roaming'!F:I,3,0)</f>
        <v>257</v>
      </c>
      <c r="F174" s="32" t="str">
        <f>VLOOKUP(A174,'[1]Global Roaming'!F:I,4,0)</f>
        <v>02</v>
      </c>
      <c r="G174" s="4" t="str">
        <f>VLOOKUP(A174,'[1]Global Roaming'!F:Z,21,0)</f>
        <v>Comfone</v>
      </c>
      <c r="H174" s="4" t="str">
        <f>VLOOKUP(A174,'[1]Global Roaming'!F:L,7,0)</f>
        <v>YES</v>
      </c>
      <c r="I174" s="4" t="str">
        <f>VLOOKUP(A174,'[1]Global Roaming'!F:P,11,0)</f>
        <v>YES</v>
      </c>
      <c r="J174" s="4" t="str">
        <f>VLOOKUP(A174,'[1]Global Roaming'!F:T,15,0)</f>
        <v>YES</v>
      </c>
    </row>
    <row r="175" spans="1:10" customFormat="1" ht="15.75" thickBot="1" x14ac:dyDescent="0.3">
      <c r="A175" s="21" t="s">
        <v>381</v>
      </c>
      <c r="B175" s="201"/>
      <c r="C175" s="90" t="s">
        <v>382</v>
      </c>
      <c r="D175" s="6">
        <v>100</v>
      </c>
      <c r="E175" s="33" t="str">
        <f>VLOOKUP(A175,'[1]Global Roaming'!F:I,3,0)</f>
        <v>257</v>
      </c>
      <c r="F175" s="33" t="str">
        <f>VLOOKUP(A175,'[1]Global Roaming'!F:I,4,0)</f>
        <v>01</v>
      </c>
      <c r="G175" s="6" t="str">
        <f>VLOOKUP(A175,'[1]Global Roaming'!F:Z,21,0)</f>
        <v>Bilateral</v>
      </c>
      <c r="H175" s="6" t="str">
        <f>VLOOKUP(A175,'[1]Global Roaming'!F:L,7,0)</f>
        <v>YES</v>
      </c>
      <c r="I175" s="6" t="str">
        <f>VLOOKUP(A175,'[1]Global Roaming'!F:P,11,0)</f>
        <v>YES</v>
      </c>
      <c r="J175" s="6">
        <f>VLOOKUP(A175,'[1]Global Roaming'!F:T,15,0)</f>
        <v>0</v>
      </c>
    </row>
    <row r="176" spans="1:10" customFormat="1" ht="15.75" thickBot="1" x14ac:dyDescent="0.3">
      <c r="A176" s="21" t="s">
        <v>383</v>
      </c>
      <c r="B176" s="198" t="s">
        <v>384</v>
      </c>
      <c r="C176" s="89" t="s">
        <v>385</v>
      </c>
      <c r="D176" s="7" t="s">
        <v>43</v>
      </c>
      <c r="E176" s="31" t="str">
        <f>VLOOKUP(A176,'[1]Global Roaming'!F:I,3,0)</f>
        <v>724</v>
      </c>
      <c r="F176" s="31" t="str">
        <f>VLOOKUP(A176,'[1]Global Roaming'!F:I,4,0)</f>
        <v>31</v>
      </c>
      <c r="G176" s="7" t="str">
        <f>VLOOKUP(A176,'[1]Global Roaming'!F:Z,21,0)</f>
        <v>Bilateral</v>
      </c>
      <c r="H176" s="7" t="str">
        <f>VLOOKUP(A176,'[1]Global Roaming'!F:L,7,0)</f>
        <v>YES</v>
      </c>
      <c r="I176" s="7" t="str">
        <f>VLOOKUP(A176,'[1]Global Roaming'!F:P,11,0)</f>
        <v>YES</v>
      </c>
      <c r="J176" s="7">
        <f>VLOOKUP(A176,'[1]Global Roaming'!F:T,15,0)</f>
        <v>0</v>
      </c>
    </row>
    <row r="177" spans="1:10" customFormat="1" ht="15.75" thickBot="1" x14ac:dyDescent="0.3">
      <c r="A177" s="21" t="s">
        <v>386</v>
      </c>
      <c r="B177" s="199"/>
      <c r="C177" s="92" t="s">
        <v>387</v>
      </c>
      <c r="D177" s="4" t="s">
        <v>652</v>
      </c>
      <c r="E177" s="32" t="str">
        <f>VLOOKUP(A177,'[1]Global Roaming'!F:I,3,0)</f>
        <v>724</v>
      </c>
      <c r="F177" s="32" t="str">
        <f>VLOOKUP(A177,'[1]Global Roaming'!F:I,4,0)</f>
        <v>16</v>
      </c>
      <c r="G177" s="4" t="str">
        <f>VLOOKUP(A177,'[1]Global Roaming'!F:Z,21,0)</f>
        <v>Bilateral</v>
      </c>
      <c r="H177" s="4" t="str">
        <f>VLOOKUP(A177,'[1]Global Roaming'!F:L,7,0)</f>
        <v>YES</v>
      </c>
      <c r="I177" s="4" t="str">
        <f>VLOOKUP(A177,'[1]Global Roaming'!F:P,11,0)</f>
        <v>YES</v>
      </c>
      <c r="J177" s="4">
        <f>VLOOKUP(A177,'[1]Global Roaming'!F:T,15,0)</f>
        <v>0</v>
      </c>
    </row>
    <row r="178" spans="1:10" customFormat="1" ht="15.75" thickBot="1" x14ac:dyDescent="0.3">
      <c r="A178" s="21" t="s">
        <v>388</v>
      </c>
      <c r="B178" s="199"/>
      <c r="C178" s="92" t="s">
        <v>389</v>
      </c>
      <c r="D178" s="4">
        <v>20</v>
      </c>
      <c r="E178" s="32" t="str">
        <f>VLOOKUP(A178,'[1]Global Roaming'!F:I,3,0)</f>
        <v>724</v>
      </c>
      <c r="F178" s="32" t="str">
        <f>VLOOKUP(A178,'[1]Global Roaming'!F:I,4,0)</f>
        <v>03</v>
      </c>
      <c r="G178" s="4" t="str">
        <f>VLOOKUP(A178,'[1]Global Roaming'!F:Z,21,0)</f>
        <v>Bilateral</v>
      </c>
      <c r="H178" s="4" t="str">
        <f>VLOOKUP(A178,'[1]Global Roaming'!F:L,7,0)</f>
        <v>YES</v>
      </c>
      <c r="I178" s="4" t="str">
        <f>VLOOKUP(A178,'[1]Global Roaming'!F:P,11,0)</f>
        <v>YES</v>
      </c>
      <c r="J178" s="4" t="str">
        <f>VLOOKUP(A178,'[1]Global Roaming'!F:T,15,0)</f>
        <v>YES</v>
      </c>
    </row>
    <row r="179" spans="1:10" customFormat="1" ht="15.75" thickBot="1" x14ac:dyDescent="0.3">
      <c r="A179" s="21" t="s">
        <v>390</v>
      </c>
      <c r="B179" s="199"/>
      <c r="C179" s="92" t="s">
        <v>389</v>
      </c>
      <c r="D179" s="4">
        <v>20</v>
      </c>
      <c r="E179" s="32" t="str">
        <f>VLOOKUP(A179,'[1]Global Roaming'!F:I,3,0)</f>
        <v>724</v>
      </c>
      <c r="F179" s="32" t="str">
        <f>VLOOKUP(A179,'[1]Global Roaming'!F:I,4,0)</f>
        <v>04</v>
      </c>
      <c r="G179" s="4" t="str">
        <f>VLOOKUP(A179,'[1]Global Roaming'!F:Z,21,0)</f>
        <v>Bilateral</v>
      </c>
      <c r="H179" s="4" t="str">
        <f>VLOOKUP(A179,'[1]Global Roaming'!F:L,7,0)</f>
        <v>YES</v>
      </c>
      <c r="I179" s="4" t="str">
        <f>VLOOKUP(A179,'[1]Global Roaming'!F:P,11,0)</f>
        <v>YES</v>
      </c>
      <c r="J179" s="4" t="str">
        <f>VLOOKUP(A179,'[1]Global Roaming'!F:T,15,0)</f>
        <v>YES</v>
      </c>
    </row>
    <row r="180" spans="1:10" customFormat="1" ht="15.75" thickBot="1" x14ac:dyDescent="0.3">
      <c r="A180" s="21" t="s">
        <v>391</v>
      </c>
      <c r="B180" s="199"/>
      <c r="C180" s="92" t="s">
        <v>389</v>
      </c>
      <c r="D180" s="4">
        <v>20</v>
      </c>
      <c r="E180" s="32" t="str">
        <f>VLOOKUP(A180,'[1]Global Roaming'!F:I,3,0)</f>
        <v>724</v>
      </c>
      <c r="F180" s="32" t="str">
        <f>VLOOKUP(A180,'[1]Global Roaming'!F:I,4,0)</f>
        <v>02</v>
      </c>
      <c r="G180" s="4" t="str">
        <f>VLOOKUP(A180,'[1]Global Roaming'!F:Z,21,0)</f>
        <v>Bilateral</v>
      </c>
      <c r="H180" s="4" t="str">
        <f>VLOOKUP(A180,'[1]Global Roaming'!F:L,7,0)</f>
        <v>YES</v>
      </c>
      <c r="I180" s="4" t="str">
        <f>VLOOKUP(A180,'[1]Global Roaming'!F:P,11,0)</f>
        <v>YES</v>
      </c>
      <c r="J180" s="4" t="str">
        <f>VLOOKUP(A180,'[1]Global Roaming'!F:T,15,0)</f>
        <v>YES</v>
      </c>
    </row>
    <row r="181" spans="1:10" customFormat="1" ht="15.75" thickBot="1" x14ac:dyDescent="0.3">
      <c r="A181" s="21" t="s">
        <v>392</v>
      </c>
      <c r="B181" s="199"/>
      <c r="C181" s="92" t="s">
        <v>393</v>
      </c>
      <c r="D181" s="4">
        <v>80</v>
      </c>
      <c r="E181" s="32" t="str">
        <f>VLOOKUP(A181,'[1]Global Roaming'!F:I,3,0)</f>
        <v>724</v>
      </c>
      <c r="F181" s="32" t="str">
        <f>VLOOKUP(A181,'[1]Global Roaming'!F:I,4,0)</f>
        <v>10</v>
      </c>
      <c r="G181" s="4" t="str">
        <f>VLOOKUP(A181,'[1]Global Roaming'!F:Z,21,0)</f>
        <v>Bilateral</v>
      </c>
      <c r="H181" s="4" t="str">
        <f>VLOOKUP(A181,'[1]Global Roaming'!F:L,7,0)</f>
        <v>YES</v>
      </c>
      <c r="I181" s="4" t="str">
        <f>VLOOKUP(A181,'[1]Global Roaming'!F:P,11,0)</f>
        <v>YES</v>
      </c>
      <c r="J181" s="4" t="str">
        <f>VLOOKUP(A181,'[1]Global Roaming'!F:T,15,0)</f>
        <v>YES</v>
      </c>
    </row>
    <row r="182" spans="1:10" customFormat="1" ht="15.75" thickBot="1" x14ac:dyDescent="0.3">
      <c r="A182" s="21" t="s">
        <v>394</v>
      </c>
      <c r="B182" s="199"/>
      <c r="C182" s="92" t="s">
        <v>393</v>
      </c>
      <c r="D182" s="4">
        <v>80</v>
      </c>
      <c r="E182" s="32" t="str">
        <f>VLOOKUP(A182,'[1]Global Roaming'!F:I,3,0)</f>
        <v>724</v>
      </c>
      <c r="F182" s="32" t="str">
        <f>VLOOKUP(A182,'[1]Global Roaming'!F:I,4,0)</f>
        <v>06</v>
      </c>
      <c r="G182" s="4" t="str">
        <f>VLOOKUP(A182,'[1]Global Roaming'!F:Z,21,0)</f>
        <v>Bilateral</v>
      </c>
      <c r="H182" s="4" t="str">
        <f>VLOOKUP(A182,'[1]Global Roaming'!F:L,7,0)</f>
        <v>YES</v>
      </c>
      <c r="I182" s="4" t="str">
        <f>VLOOKUP(A182,'[1]Global Roaming'!F:P,11,0)</f>
        <v>YES</v>
      </c>
      <c r="J182" s="4" t="str">
        <f>VLOOKUP(A182,'[1]Global Roaming'!F:T,15,0)</f>
        <v>YES</v>
      </c>
    </row>
    <row r="183" spans="1:10" customFormat="1" ht="15.75" thickBot="1" x14ac:dyDescent="0.3">
      <c r="A183" s="21" t="s">
        <v>395</v>
      </c>
      <c r="B183" s="199"/>
      <c r="C183" s="92" t="s">
        <v>393</v>
      </c>
      <c r="D183" s="4">
        <v>80</v>
      </c>
      <c r="E183" s="32" t="str">
        <f>VLOOKUP(A183,'[1]Global Roaming'!F:I,3,0)</f>
        <v>724</v>
      </c>
      <c r="F183" s="32" t="str">
        <f>VLOOKUP(A183,'[1]Global Roaming'!F:I,4,0)</f>
        <v>11</v>
      </c>
      <c r="G183" s="4" t="str">
        <f>VLOOKUP(A183,'[1]Global Roaming'!F:Z,21,0)</f>
        <v>Bilateral</v>
      </c>
      <c r="H183" s="4" t="str">
        <f>VLOOKUP(A183,'[1]Global Roaming'!F:L,7,0)</f>
        <v>YES</v>
      </c>
      <c r="I183" s="4" t="str">
        <f>VLOOKUP(A183,'[1]Global Roaming'!F:P,11,0)</f>
        <v>YES</v>
      </c>
      <c r="J183" s="4" t="str">
        <f>VLOOKUP(A183,'[1]Global Roaming'!F:T,15,0)</f>
        <v>YES</v>
      </c>
    </row>
    <row r="184" spans="1:10" customFormat="1" ht="15.75" thickBot="1" x14ac:dyDescent="0.3">
      <c r="A184" s="21" t="s">
        <v>396</v>
      </c>
      <c r="B184" s="201"/>
      <c r="C184" s="90" t="s">
        <v>393</v>
      </c>
      <c r="D184" s="6">
        <v>80</v>
      </c>
      <c r="E184" s="33" t="str">
        <f>VLOOKUP(A184,'[1]Global Roaming'!F:I,3,0)</f>
        <v>724</v>
      </c>
      <c r="F184" s="33" t="str">
        <f>VLOOKUP(A184,'[1]Global Roaming'!F:I,4,0)</f>
        <v>23</v>
      </c>
      <c r="G184" s="6" t="str">
        <f>VLOOKUP(A184,'[1]Global Roaming'!F:Z,21,0)</f>
        <v>Bilateral</v>
      </c>
      <c r="H184" s="6" t="str">
        <f>VLOOKUP(A184,'[1]Global Roaming'!F:L,7,0)</f>
        <v>YES</v>
      </c>
      <c r="I184" s="6" t="str">
        <f>VLOOKUP(A184,'[1]Global Roaming'!F:P,11,0)</f>
        <v>YES</v>
      </c>
      <c r="J184" s="6" t="str">
        <f>VLOOKUP(A184,'[1]Global Roaming'!F:T,15,0)</f>
        <v>YES</v>
      </c>
    </row>
    <row r="185" spans="1:10" customFormat="1" ht="15.75" thickBot="1" x14ac:dyDescent="0.3">
      <c r="A185" s="21" t="s">
        <v>397</v>
      </c>
      <c r="B185" s="198" t="s">
        <v>398</v>
      </c>
      <c r="C185" s="89" t="s">
        <v>399</v>
      </c>
      <c r="D185" s="7">
        <v>90</v>
      </c>
      <c r="E185" s="31">
        <f>VLOOKUP(A185,'[1]Global Roaming'!F:I,3,0)</f>
        <v>284</v>
      </c>
      <c r="F185" s="31" t="str">
        <f>VLOOKUP(A185,'[1]Global Roaming'!F:I,4,0)</f>
        <v>01</v>
      </c>
      <c r="G185" s="7" t="str">
        <f>VLOOKUP(A185,'[1]Global Roaming'!F:Z,21,0)</f>
        <v>Bilateral</v>
      </c>
      <c r="H185" s="7" t="str">
        <f>VLOOKUP(A185,'[1]Global Roaming'!F:L,7,0)</f>
        <v>YES</v>
      </c>
      <c r="I185" s="7" t="str">
        <f>VLOOKUP(A185,'[1]Global Roaming'!F:P,11,0)</f>
        <v>YES</v>
      </c>
      <c r="J185" s="7" t="str">
        <f>VLOOKUP(A185,'[1]Global Roaming'!F:T,15,0)</f>
        <v>YES</v>
      </c>
    </row>
    <row r="186" spans="1:10" customFormat="1" ht="15.75" thickBot="1" x14ac:dyDescent="0.3">
      <c r="A186" s="21" t="s">
        <v>400</v>
      </c>
      <c r="B186" s="199"/>
      <c r="C186" s="92" t="s">
        <v>401</v>
      </c>
      <c r="D186" s="4" t="s">
        <v>43</v>
      </c>
      <c r="E186" s="32" t="str">
        <f>VLOOKUP(A186,'[1]Global Roaming'!F:I,3,0)</f>
        <v>284</v>
      </c>
      <c r="F186" s="32" t="str">
        <f>VLOOKUP(A186,'[1]Global Roaming'!F:I,4,0)</f>
        <v>03</v>
      </c>
      <c r="G186" s="4" t="str">
        <f>VLOOKUP(A186,'[1]Global Roaming'!F:Z,21,0)</f>
        <v>Bilateral</v>
      </c>
      <c r="H186" s="4" t="str">
        <f>VLOOKUP(A186,'[1]Global Roaming'!F:L,7,0)</f>
        <v>YES</v>
      </c>
      <c r="I186" s="4" t="str">
        <f>VLOOKUP(A186,'[1]Global Roaming'!F:P,11,0)</f>
        <v>YES</v>
      </c>
      <c r="J186" s="4" t="str">
        <f>VLOOKUP(A186,'[1]Global Roaming'!F:T,15,0)</f>
        <v>YES</v>
      </c>
    </row>
    <row r="187" spans="1:10" customFormat="1" ht="15.75" thickBot="1" x14ac:dyDescent="0.3">
      <c r="A187" s="21" t="s">
        <v>402</v>
      </c>
      <c r="B187" s="201"/>
      <c r="C187" s="90" t="s">
        <v>403</v>
      </c>
      <c r="D187" s="6">
        <v>10</v>
      </c>
      <c r="E187" s="33" t="str">
        <f>VLOOKUP(A187,'[1]Global Roaming'!F:I,3,0)</f>
        <v>284</v>
      </c>
      <c r="F187" s="33" t="str">
        <f>VLOOKUP(A187,'[1]Global Roaming'!F:I,4,0)</f>
        <v>05</v>
      </c>
      <c r="G187" s="6" t="str">
        <f>VLOOKUP(A187,'[1]Global Roaming'!F:Z,21,0)</f>
        <v>Bilateral</v>
      </c>
      <c r="H187" s="6" t="str">
        <f>VLOOKUP(A187,'[1]Global Roaming'!F:L,7,0)</f>
        <v>YES</v>
      </c>
      <c r="I187" s="6" t="str">
        <f>VLOOKUP(A187,'[1]Global Roaming'!F:P,11,0)</f>
        <v>YES</v>
      </c>
      <c r="J187" s="6" t="str">
        <f>VLOOKUP(A187,'[1]Global Roaming'!F:T,15,0)</f>
        <v>YES</v>
      </c>
    </row>
    <row r="188" spans="1:10" customFormat="1" ht="15.75" thickBot="1" x14ac:dyDescent="0.3">
      <c r="A188" s="21" t="s">
        <v>404</v>
      </c>
      <c r="B188" s="198" t="s">
        <v>405</v>
      </c>
      <c r="C188" s="89" t="s">
        <v>406</v>
      </c>
      <c r="D188" s="7">
        <v>100</v>
      </c>
      <c r="E188" s="31" t="str">
        <f>VLOOKUP(A188,'[1]Global Roaming'!F:I,3,0)</f>
        <v>625</v>
      </c>
      <c r="F188" s="31" t="str">
        <f>VLOOKUP(A188,'[1]Global Roaming'!F:I,4,0)</f>
        <v>01</v>
      </c>
      <c r="G188" s="7" t="str">
        <f>VLOOKUP(A188,'[1]Global Roaming'!F:Z,21,0)</f>
        <v>Bilateral</v>
      </c>
      <c r="H188" s="7" t="str">
        <f>VLOOKUP(A188,'[1]Global Roaming'!F:L,7,0)</f>
        <v>YES</v>
      </c>
      <c r="I188" s="7" t="str">
        <f>VLOOKUP(A188,'[1]Global Roaming'!F:P,11,0)</f>
        <v>YES</v>
      </c>
      <c r="J188" s="7" t="str">
        <f>VLOOKUP(A188,'[1]Global Roaming'!F:T,15,0)</f>
        <v>YES</v>
      </c>
    </row>
    <row r="189" spans="1:10" customFormat="1" ht="15.75" thickBot="1" x14ac:dyDescent="0.3">
      <c r="A189" s="21" t="s">
        <v>407</v>
      </c>
      <c r="B189" s="201"/>
      <c r="C189" s="90" t="s">
        <v>408</v>
      </c>
      <c r="D189" s="6" t="s">
        <v>43</v>
      </c>
      <c r="E189" s="33" t="str">
        <f>VLOOKUP(A189,'[1]Global Roaming'!F:I,3,0)</f>
        <v>625</v>
      </c>
      <c r="F189" s="33" t="str">
        <f>VLOOKUP(A189,'[1]Global Roaming'!F:I,4,0)</f>
        <v>02</v>
      </c>
      <c r="G189" s="6" t="str">
        <f>VLOOKUP(A189,'[1]Global Roaming'!F:Z,21,0)</f>
        <v>Comfone</v>
      </c>
      <c r="H189" s="6" t="str">
        <f>VLOOKUP(A189,'[1]Global Roaming'!F:L,7,0)</f>
        <v>YES</v>
      </c>
      <c r="I189" s="6" t="str">
        <f>VLOOKUP(A189,'[1]Global Roaming'!F:P,11,0)</f>
        <v>YES</v>
      </c>
      <c r="J189" s="6" t="str">
        <f>VLOOKUP(A189,'[1]Global Roaming'!F:T,15,0)</f>
        <v>YES</v>
      </c>
    </row>
    <row r="190" spans="1:10" customFormat="1" ht="15.75" thickBot="1" x14ac:dyDescent="0.3">
      <c r="A190" s="21" t="s">
        <v>409</v>
      </c>
      <c r="B190" s="198" t="s">
        <v>410</v>
      </c>
      <c r="C190" s="89" t="s">
        <v>411</v>
      </c>
      <c r="D190" s="1" t="s">
        <v>43</v>
      </c>
      <c r="E190" s="29" t="str">
        <f>VLOOKUP(A190,'[1]Global Roaming'!F:I,3,0)</f>
        <v>340</v>
      </c>
      <c r="F190" s="29" t="str">
        <f>VLOOKUP(A190,'[1]Global Roaming'!F:I,4,0)</f>
        <v>08</v>
      </c>
      <c r="G190" s="1" t="str">
        <f>VLOOKUP(A190,'[1]Global Roaming'!F:Z,21,0)</f>
        <v>Comfone</v>
      </c>
      <c r="H190" s="1" t="str">
        <f>VLOOKUP(A190,'[1]Global Roaming'!F:L,7,0)</f>
        <v>YES</v>
      </c>
      <c r="I190" s="1" t="str">
        <f>VLOOKUP(A190,'[1]Global Roaming'!F:P,11,0)</f>
        <v>YES</v>
      </c>
      <c r="J190" s="1" t="str">
        <f>VLOOKUP(A190,'[1]Global Roaming'!F:T,15,0)</f>
        <v>YES</v>
      </c>
    </row>
    <row r="191" spans="1:10" customFormat="1" ht="15.75" thickBot="1" x14ac:dyDescent="0.3">
      <c r="A191" s="21" t="s">
        <v>412</v>
      </c>
      <c r="B191" s="199"/>
      <c r="C191" s="92" t="s">
        <v>413</v>
      </c>
      <c r="D191" s="2" t="s">
        <v>43</v>
      </c>
      <c r="E191" s="27" t="str">
        <f>VLOOKUP(A191,'[1]Global Roaming'!F:I,3,0)</f>
        <v>340</v>
      </c>
      <c r="F191" s="27" t="str">
        <f>VLOOKUP(A191,'[1]Global Roaming'!F:I,4,0)</f>
        <v>20</v>
      </c>
      <c r="G191" s="2" t="str">
        <f>VLOOKUP(A191,'[1]Global Roaming'!F:Z,21,0)</f>
        <v>Bilateral</v>
      </c>
      <c r="H191" s="2" t="str">
        <f>VLOOKUP(A191,'[1]Global Roaming'!F:L,7,0)</f>
        <v>YES</v>
      </c>
      <c r="I191" s="2" t="str">
        <f>VLOOKUP(A191,'[1]Global Roaming'!F:P,11,0)</f>
        <v>YES</v>
      </c>
      <c r="J191" s="2" t="str">
        <f>VLOOKUP(A191,'[1]Global Roaming'!F:T,15,0)</f>
        <v>YES</v>
      </c>
    </row>
    <row r="192" spans="1:10" customFormat="1" ht="15.75" thickBot="1" x14ac:dyDescent="0.3">
      <c r="A192" s="40" t="s">
        <v>414</v>
      </c>
      <c r="B192" s="200"/>
      <c r="C192" s="93" t="s">
        <v>415</v>
      </c>
      <c r="D192" s="5">
        <v>100</v>
      </c>
      <c r="E192" s="28" t="str">
        <f>VLOOKUP(A192,'[1]Global Roaming'!F:I,3,0)</f>
        <v>340</v>
      </c>
      <c r="F192" s="28" t="str">
        <f>VLOOKUP(A192,'[1]Global Roaming'!F:I,4,0)</f>
        <v>01</v>
      </c>
      <c r="G192" s="5" t="str">
        <f>VLOOKUP(A192,'[1]Global Roaming'!F:Z,21,0)</f>
        <v>Orange Hub</v>
      </c>
      <c r="H192" s="5" t="str">
        <f>VLOOKUP(A192,'[1]Global Roaming'!F:L,7,0)</f>
        <v>YES</v>
      </c>
      <c r="I192" s="5" t="str">
        <f>VLOOKUP(A192,'[1]Global Roaming'!F:P,11,0)</f>
        <v>YES</v>
      </c>
      <c r="J192" s="5" t="str">
        <f>VLOOKUP(A192,'[1]Global Roaming'!F:T,15,0)</f>
        <v>YES</v>
      </c>
    </row>
    <row r="193" spans="1:10" customFormat="1" ht="15.75" thickBot="1" x14ac:dyDescent="0.3">
      <c r="A193" s="21" t="s">
        <v>416</v>
      </c>
      <c r="B193" s="198" t="s">
        <v>417</v>
      </c>
      <c r="C193" s="89" t="s">
        <v>418</v>
      </c>
      <c r="D193" s="78">
        <v>10</v>
      </c>
      <c r="E193" s="79" t="str">
        <f>VLOOKUP(A193,'[1]Global Roaming'!F:I,3,0)</f>
        <v>730</v>
      </c>
      <c r="F193" s="79" t="str">
        <f>VLOOKUP(A193,'[1]Global Roaming'!F:I,4,0)</f>
        <v>03</v>
      </c>
      <c r="G193" s="78" t="str">
        <f>VLOOKUP(A193,'[1]Global Roaming'!F:Z,21,0)</f>
        <v>Bilateral</v>
      </c>
      <c r="H193" s="78" t="str">
        <f>VLOOKUP(A193,'[1]Global Roaming'!F:L,7,0)</f>
        <v>YES</v>
      </c>
      <c r="I193" s="78" t="str">
        <f>VLOOKUP(A193,'[1]Global Roaming'!F:P,11,0)</f>
        <v>YES</v>
      </c>
      <c r="J193" s="7">
        <f>VLOOKUP(A193,'[1]Global Roaming'!F:T,15,0)</f>
        <v>0</v>
      </c>
    </row>
    <row r="194" spans="1:10" customFormat="1" ht="15.75" thickBot="1" x14ac:dyDescent="0.3">
      <c r="A194" s="49" t="s">
        <v>419</v>
      </c>
      <c r="B194" s="199"/>
      <c r="C194" s="92" t="s">
        <v>420</v>
      </c>
      <c r="D194" s="132" t="s">
        <v>43</v>
      </c>
      <c r="E194" s="79" t="str">
        <f>VLOOKUP(A194,'[1]Global Roaming'!F:I,3,0)</f>
        <v>730</v>
      </c>
      <c r="F194" s="79" t="str">
        <f>VLOOKUP(A194,'[1]Global Roaming'!F:I,4,0)</f>
        <v>01</v>
      </c>
      <c r="G194" s="132" t="str">
        <f>VLOOKUP(A194,'[1]Global Roaming'!F:Z,21,0)</f>
        <v>Comfone</v>
      </c>
      <c r="H194" s="132" t="str">
        <f>VLOOKUP(A194,'[1]Global Roaming'!F:L,7,0)</f>
        <v>YES</v>
      </c>
      <c r="I194" s="132" t="str">
        <f>VLOOKUP(A194,'[1]Global Roaming'!F:P,11,0)</f>
        <v>YES</v>
      </c>
      <c r="J194" s="4" t="str">
        <f>VLOOKUP(A194,'[1]Global Roaming'!F:T,15,0)</f>
        <v>YES</v>
      </c>
    </row>
    <row r="195" spans="1:10" customFormat="1" ht="15.75" thickBot="1" x14ac:dyDescent="0.3">
      <c r="A195" s="50" t="s">
        <v>653</v>
      </c>
      <c r="B195" s="201"/>
      <c r="C195" s="90" t="s">
        <v>654</v>
      </c>
      <c r="D195" s="80">
        <v>90</v>
      </c>
      <c r="E195" s="79">
        <f>VLOOKUP(A195,'[1]Global Roaming'!F:I,3,0)</f>
        <v>730</v>
      </c>
      <c r="F195" s="79" t="str">
        <f>VLOOKUP(A195,'[1]Global Roaming'!F:I,4,0)</f>
        <v>02</v>
      </c>
      <c r="G195" s="132" t="str">
        <f>VLOOKUP(A195,'[1]Global Roaming'!F:Z,21,0)</f>
        <v>Bilateral</v>
      </c>
      <c r="H195" s="132" t="str">
        <f>VLOOKUP(A195,'[1]Global Roaming'!F:L,7,0)</f>
        <v>YES</v>
      </c>
      <c r="I195" s="132" t="str">
        <f>VLOOKUP(A195,'[1]Global Roaming'!F:P,11,0)</f>
        <v>YES</v>
      </c>
      <c r="J195" s="4" t="str">
        <f>VLOOKUP(A195,'[1]Global Roaming'!F:T,15,0)</f>
        <v>YES</v>
      </c>
    </row>
    <row r="196" spans="1:10" customFormat="1" ht="15.75" thickBot="1" x14ac:dyDescent="0.3">
      <c r="A196" s="38" t="s">
        <v>421</v>
      </c>
      <c r="B196" s="209" t="s">
        <v>422</v>
      </c>
      <c r="C196" s="91" t="s">
        <v>423</v>
      </c>
      <c r="D196" s="16">
        <v>10</v>
      </c>
      <c r="E196" s="34" t="str">
        <f>VLOOKUP(A196,'[1]Global Roaming'!F:I,3,0)</f>
        <v>712</v>
      </c>
      <c r="F196" s="34" t="str">
        <f>VLOOKUP(A196,'[1]Global Roaming'!F:I,4,0)</f>
        <v>03</v>
      </c>
      <c r="G196" s="16" t="str">
        <f>VLOOKUP(A196,'[1]Global Roaming'!F:Z,21,0)</f>
        <v>Comfone</v>
      </c>
      <c r="H196" s="16" t="str">
        <f>VLOOKUP(A196,'[1]Global Roaming'!F:L,7,0)</f>
        <v>YES</v>
      </c>
      <c r="I196" s="16" t="str">
        <f>VLOOKUP(A196,'[1]Global Roaming'!F:P,11,0)</f>
        <v>YES</v>
      </c>
      <c r="J196" s="16">
        <f>VLOOKUP(A196,'[1]Global Roaming'!F:T,15,0)</f>
        <v>0</v>
      </c>
    </row>
    <row r="197" spans="1:10" customFormat="1" ht="15.75" thickBot="1" x14ac:dyDescent="0.3">
      <c r="A197" s="21" t="s">
        <v>424</v>
      </c>
      <c r="B197" s="199"/>
      <c r="C197" s="92" t="s">
        <v>425</v>
      </c>
      <c r="D197" s="7" t="s">
        <v>43</v>
      </c>
      <c r="E197" s="31" t="str">
        <f>VLOOKUP(A197,'[1]Global Roaming'!F:I,3,0)</f>
        <v>712</v>
      </c>
      <c r="F197" s="31" t="str">
        <f>VLOOKUP(A197,'[1]Global Roaming'!F:I,4,0)</f>
        <v>01</v>
      </c>
      <c r="G197" s="7" t="str">
        <f>VLOOKUP(A197,'[1]Global Roaming'!F:Z,21,0)</f>
        <v>Bilateral</v>
      </c>
      <c r="H197" s="7" t="str">
        <f>VLOOKUP(A197,'[1]Global Roaming'!F:L,7,0)</f>
        <v>YES</v>
      </c>
      <c r="I197" s="7" t="str">
        <f>VLOOKUP(A197,'[1]Global Roaming'!F:P,11,0)</f>
        <v>YES</v>
      </c>
      <c r="J197" s="7" t="str">
        <f>VLOOKUP(A197,'[1]Global Roaming'!F:T,15,0)</f>
        <v>YES</v>
      </c>
    </row>
    <row r="198" spans="1:10" customFormat="1" ht="15.75" thickBot="1" x14ac:dyDescent="0.3">
      <c r="A198" s="21" t="s">
        <v>426</v>
      </c>
      <c r="B198" s="201"/>
      <c r="C198" s="90" t="s">
        <v>427</v>
      </c>
      <c r="D198" s="6">
        <v>90</v>
      </c>
      <c r="E198" s="33" t="str">
        <f>VLOOKUP(A198,'[1]Global Roaming'!F:I,3,0)</f>
        <v>712</v>
      </c>
      <c r="F198" s="33" t="str">
        <f>VLOOKUP(A198,'[1]Global Roaming'!F:I,4,0)</f>
        <v>04</v>
      </c>
      <c r="G198" s="6" t="str">
        <f>VLOOKUP(A198,'[1]Global Roaming'!F:Z,21,0)</f>
        <v>Bilateral</v>
      </c>
      <c r="H198" s="6" t="str">
        <f>VLOOKUP(A198,'[1]Global Roaming'!F:L,7,0)</f>
        <v>YES</v>
      </c>
      <c r="I198" s="6" t="str">
        <f>VLOOKUP(A198,'[1]Global Roaming'!F:P,11,0)</f>
        <v>YES</v>
      </c>
      <c r="J198" s="6" t="str">
        <f>VLOOKUP(A198,'[1]Global Roaming'!F:T,15,0)</f>
        <v>YES</v>
      </c>
    </row>
    <row r="199" spans="1:10" customFormat="1" ht="15.75" thickBot="1" x14ac:dyDescent="0.3">
      <c r="A199" s="21" t="s">
        <v>428</v>
      </c>
      <c r="B199" s="198" t="s">
        <v>429</v>
      </c>
      <c r="C199" s="89" t="s">
        <v>430</v>
      </c>
      <c r="D199" s="7">
        <v>80</v>
      </c>
      <c r="E199" s="31">
        <f>VLOOKUP(A199,'[1]Global Roaming'!F:I,3,0)</f>
        <v>219</v>
      </c>
      <c r="F199" s="31" t="str">
        <f>VLOOKUP(A199,'[1]Global Roaming'!F:I,4,0)</f>
        <v>10</v>
      </c>
      <c r="G199" s="7" t="str">
        <f>VLOOKUP(A199,'[1]Global Roaming'!F:Z,21,0)</f>
        <v>Bilateral</v>
      </c>
      <c r="H199" s="7" t="str">
        <f>VLOOKUP(A199,'[1]Global Roaming'!F:L,7,0)</f>
        <v>YES</v>
      </c>
      <c r="I199" s="7" t="str">
        <f>VLOOKUP(A199,'[1]Global Roaming'!F:P,11,0)</f>
        <v>YES</v>
      </c>
      <c r="J199" s="7" t="str">
        <f>VLOOKUP(A199,'[1]Global Roaming'!F:T,15,0)</f>
        <v>YES</v>
      </c>
    </row>
    <row r="200" spans="1:10" customFormat="1" ht="15.75" thickBot="1" x14ac:dyDescent="0.3">
      <c r="A200" s="21" t="s">
        <v>431</v>
      </c>
      <c r="B200" s="199"/>
      <c r="C200" s="92" t="s">
        <v>432</v>
      </c>
      <c r="D200" s="4">
        <v>20</v>
      </c>
      <c r="E200" s="32" t="str">
        <f>VLOOKUP(A200,'[1]Global Roaming'!F:I,3,0)</f>
        <v>219</v>
      </c>
      <c r="F200" s="32" t="str">
        <f>VLOOKUP(A200,'[1]Global Roaming'!F:I,4,0)</f>
        <v>01</v>
      </c>
      <c r="G200" s="4" t="str">
        <f>VLOOKUP(A200,'[1]Global Roaming'!F:Z,21,0)</f>
        <v>Comfone</v>
      </c>
      <c r="H200" s="4" t="str">
        <f>VLOOKUP(A200,'[1]Global Roaming'!F:L,7,0)</f>
        <v>YES</v>
      </c>
      <c r="I200" s="4" t="str">
        <f>VLOOKUP(A200,'[1]Global Roaming'!F:P,11,0)</f>
        <v>YES</v>
      </c>
      <c r="J200" s="4" t="str">
        <f>VLOOKUP(A200,'[1]Global Roaming'!F:T,15,0)</f>
        <v>YES</v>
      </c>
    </row>
    <row r="201" spans="1:10" customFormat="1" ht="15.75" thickBot="1" x14ac:dyDescent="0.3">
      <c r="A201" s="21" t="s">
        <v>433</v>
      </c>
      <c r="B201" s="201"/>
      <c r="C201" s="90" t="s">
        <v>434</v>
      </c>
      <c r="D201" s="6" t="s">
        <v>43</v>
      </c>
      <c r="E201" s="33" t="str">
        <f>VLOOKUP(A201,'[1]Global Roaming'!F:I,3,0)</f>
        <v>219</v>
      </c>
      <c r="F201" s="33" t="str">
        <f>VLOOKUP(A201,'[1]Global Roaming'!F:I,4,0)</f>
        <v>02</v>
      </c>
      <c r="G201" s="6" t="str">
        <f>VLOOKUP(A201,'[1]Global Roaming'!F:Z,21,0)</f>
        <v>Bilateral</v>
      </c>
      <c r="H201" s="6" t="str">
        <f>VLOOKUP(A201,'[1]Global Roaming'!F:L,7,0)</f>
        <v>YES</v>
      </c>
      <c r="I201" s="6" t="str">
        <f>VLOOKUP(A201,'[1]Global Roaming'!F:P,11,0)</f>
        <v>YES</v>
      </c>
      <c r="J201" s="6">
        <f>VLOOKUP(A201,'[1]Global Roaming'!F:T,15,0)</f>
        <v>0</v>
      </c>
    </row>
    <row r="202" spans="1:10" customFormat="1" ht="15.75" thickBot="1" x14ac:dyDescent="0.3">
      <c r="A202" s="21" t="s">
        <v>435</v>
      </c>
      <c r="B202" s="198" t="s">
        <v>436</v>
      </c>
      <c r="C202" s="89" t="s">
        <v>437</v>
      </c>
      <c r="D202" s="7">
        <v>80</v>
      </c>
      <c r="E202" s="31" t="str">
        <f>VLOOKUP(A202,'[1]Global Roaming'!F:I,3,0)</f>
        <v>280</v>
      </c>
      <c r="F202" s="31" t="str">
        <f>VLOOKUP(A202,'[1]Global Roaming'!F:I,4,0)</f>
        <v>10</v>
      </c>
      <c r="G202" s="7" t="str">
        <f>VLOOKUP(A202,'[1]Global Roaming'!F:Z,21,0)</f>
        <v>Bilateral</v>
      </c>
      <c r="H202" s="7" t="str">
        <f>VLOOKUP(A202,'[1]Global Roaming'!F:L,7,0)</f>
        <v>YES</v>
      </c>
      <c r="I202" s="7" t="str">
        <f>VLOOKUP(A202,'[1]Global Roaming'!F:P,11,0)</f>
        <v>YES</v>
      </c>
      <c r="J202" s="7" t="str">
        <f>VLOOKUP(A202,'[1]Global Roaming'!F:T,15,0)</f>
        <v>YES</v>
      </c>
    </row>
    <row r="203" spans="1:10" customFormat="1" ht="15.75" thickBot="1" x14ac:dyDescent="0.3">
      <c r="A203" s="21" t="s">
        <v>438</v>
      </c>
      <c r="B203" s="201"/>
      <c r="C203" s="90" t="s">
        <v>439</v>
      </c>
      <c r="D203" s="6">
        <v>20</v>
      </c>
      <c r="E203" s="33" t="str">
        <f>VLOOKUP(A203,'[1]Global Roaming'!F:I,3,0)</f>
        <v>280</v>
      </c>
      <c r="F203" s="33" t="str">
        <f>VLOOKUP(A203,'[1]Global Roaming'!F:I,4,0)</f>
        <v>20</v>
      </c>
      <c r="G203" s="6" t="str">
        <f>VLOOKUP(A203,'[1]Global Roaming'!F:Z,21,0)</f>
        <v>Bilateral</v>
      </c>
      <c r="H203" s="6" t="str">
        <f>VLOOKUP(A203,'[1]Global Roaming'!F:L,7,0)</f>
        <v>YES</v>
      </c>
      <c r="I203" s="6" t="str">
        <f>VLOOKUP(A203,'[1]Global Roaming'!F:P,11,0)</f>
        <v>Arrêté</v>
      </c>
      <c r="J203" s="6" t="str">
        <f>VLOOKUP(A203,'[1]Global Roaming'!F:T,15,0)</f>
        <v>YES</v>
      </c>
    </row>
    <row r="204" spans="1:10" customFormat="1" ht="15.75" thickBot="1" x14ac:dyDescent="0.3">
      <c r="A204" s="21" t="s">
        <v>440</v>
      </c>
      <c r="B204" s="198" t="s">
        <v>441</v>
      </c>
      <c r="C204" s="89" t="s">
        <v>442</v>
      </c>
      <c r="D204" s="1">
        <v>90</v>
      </c>
      <c r="E204" s="29" t="str">
        <f>VLOOKUP(A204,'[1]Global Roaming'!F:I,3,0)</f>
        <v>238</v>
      </c>
      <c r="F204" s="29" t="str">
        <f>VLOOKUP(A204,'[1]Global Roaming'!F:I,4,0)</f>
        <v>06</v>
      </c>
      <c r="G204" s="1" t="str">
        <f>VLOOKUP(A204,'[1]Global Roaming'!F:Z,21,0)</f>
        <v>Bilateral</v>
      </c>
      <c r="H204" s="1" t="str">
        <f>VLOOKUP(A204,'[1]Global Roaming'!F:L,7,0)</f>
        <v>YES</v>
      </c>
      <c r="I204" s="1" t="str">
        <f>VLOOKUP(A204,'[1]Global Roaming'!F:P,11,0)</f>
        <v>YES</v>
      </c>
      <c r="J204" s="1">
        <f>VLOOKUP(A204,'[1]Global Roaming'!F:T,15,0)</f>
        <v>0</v>
      </c>
    </row>
    <row r="205" spans="1:10" customFormat="1" ht="15.75" thickBot="1" x14ac:dyDescent="0.3">
      <c r="A205" s="21" t="s">
        <v>443</v>
      </c>
      <c r="B205" s="199"/>
      <c r="C205" s="92" t="s">
        <v>444</v>
      </c>
      <c r="D205" s="2" t="s">
        <v>10</v>
      </c>
      <c r="E205" s="27" t="str">
        <f>VLOOKUP(A205,'[1]Global Roaming'!F:I,3,0)</f>
        <v>238</v>
      </c>
      <c r="F205" s="27" t="str">
        <f>VLOOKUP(A205,'[1]Global Roaming'!F:I,4,0)</f>
        <v>01</v>
      </c>
      <c r="G205" s="2" t="str">
        <f>VLOOKUP(A205,'[1]Global Roaming'!F:Z,21,0)</f>
        <v>Bilateral</v>
      </c>
      <c r="H205" s="2" t="str">
        <f>VLOOKUP(A205,'[1]Global Roaming'!F:L,7,0)</f>
        <v>YES</v>
      </c>
      <c r="I205" s="2" t="str">
        <f>VLOOKUP(A205,'[1]Global Roaming'!F:P,11,0)</f>
        <v>YES</v>
      </c>
      <c r="J205" s="2" t="str">
        <f>VLOOKUP(A205,'[1]Global Roaming'!F:T,15,0)</f>
        <v>YES</v>
      </c>
    </row>
    <row r="206" spans="1:10" customFormat="1" ht="15.75" thickBot="1" x14ac:dyDescent="0.3">
      <c r="A206" s="21" t="s">
        <v>445</v>
      </c>
      <c r="B206" s="199"/>
      <c r="C206" s="92" t="s">
        <v>446</v>
      </c>
      <c r="D206" s="2">
        <v>10</v>
      </c>
      <c r="E206" s="27" t="str">
        <f>VLOOKUP(A206,'[1]Global Roaming'!F:I,3,0)</f>
        <v>238</v>
      </c>
      <c r="F206" s="27" t="str">
        <f>VLOOKUP(A206,'[1]Global Roaming'!F:I,4,0)</f>
        <v>02</v>
      </c>
      <c r="G206" s="2" t="str">
        <f>VLOOKUP(A206,'[1]Global Roaming'!F:Z,21,0)</f>
        <v>Bilateral</v>
      </c>
      <c r="H206" s="2" t="str">
        <f>VLOOKUP(A206,'[1]Global Roaming'!F:L,7,0)</f>
        <v>YES</v>
      </c>
      <c r="I206" s="2" t="str">
        <f>VLOOKUP(A206,'[1]Global Roaming'!F:P,11,0)</f>
        <v>Arrêté</v>
      </c>
      <c r="J206" s="2" t="str">
        <f>VLOOKUP(A206,'[1]Global Roaming'!F:T,15,0)</f>
        <v>YES</v>
      </c>
    </row>
    <row r="207" spans="1:10" customFormat="1" ht="15.75" thickBot="1" x14ac:dyDescent="0.3">
      <c r="A207" s="21" t="s">
        <v>447</v>
      </c>
      <c r="B207" s="201"/>
      <c r="C207" s="90" t="s">
        <v>448</v>
      </c>
      <c r="D207" s="3" t="s">
        <v>10</v>
      </c>
      <c r="E207" s="30" t="str">
        <f>VLOOKUP(A207,'[1]Global Roaming'!F:I,3,0)</f>
        <v>238</v>
      </c>
      <c r="F207" s="30" t="str">
        <f>VLOOKUP(A207,'[1]Global Roaming'!F:I,4,0)</f>
        <v>20</v>
      </c>
      <c r="G207" s="3" t="str">
        <f>VLOOKUP(A207,'[1]Global Roaming'!F:Z,21,0)</f>
        <v>Bilateral</v>
      </c>
      <c r="H207" s="3" t="str">
        <f>VLOOKUP(A207,'[1]Global Roaming'!F:L,7,0)</f>
        <v>YES</v>
      </c>
      <c r="I207" s="3" t="str">
        <f>VLOOKUP(A207,'[1]Global Roaming'!F:P,11,0)</f>
        <v>Arrêté</v>
      </c>
      <c r="J207" s="3" t="str">
        <f>VLOOKUP(A207,'[1]Global Roaming'!F:T,15,0)</f>
        <v>YES</v>
      </c>
    </row>
    <row r="208" spans="1:10" customFormat="1" ht="15.75" thickBot="1" x14ac:dyDescent="0.3">
      <c r="A208" s="21" t="s">
        <v>449</v>
      </c>
      <c r="B208" s="198" t="s">
        <v>450</v>
      </c>
      <c r="C208" s="89" t="s">
        <v>451</v>
      </c>
      <c r="D208" s="7" t="s">
        <v>10</v>
      </c>
      <c r="E208" s="31" t="str">
        <f>VLOOKUP(A208,'[1]Global Roaming'!F:I,3,0)</f>
        <v>248</v>
      </c>
      <c r="F208" s="31" t="str">
        <f>VLOOKUP(A208,'[1]Global Roaming'!F:I,4,0)</f>
        <v>02</v>
      </c>
      <c r="G208" s="7" t="str">
        <f>VLOOKUP(A208,'[1]Global Roaming'!F:Z,21,0)</f>
        <v>Bilateral</v>
      </c>
      <c r="H208" s="7" t="str">
        <f>VLOOKUP(A208,'[1]Global Roaming'!F:L,7,0)</f>
        <v>YES</v>
      </c>
      <c r="I208" s="7" t="str">
        <f>VLOOKUP(A208,'[1]Global Roaming'!F:P,11,0)</f>
        <v>YES</v>
      </c>
      <c r="J208" s="7" t="str">
        <f>VLOOKUP(A208,'[1]Global Roaming'!F:T,15,0)</f>
        <v>YES</v>
      </c>
    </row>
    <row r="209" spans="1:10" customFormat="1" ht="15.75" thickBot="1" x14ac:dyDescent="0.3">
      <c r="A209" s="21" t="s">
        <v>452</v>
      </c>
      <c r="B209" s="199"/>
      <c r="C209" s="92" t="s">
        <v>453</v>
      </c>
      <c r="D209" s="4">
        <v>90</v>
      </c>
      <c r="E209" s="32" t="str">
        <f>VLOOKUP(A209,'[1]Global Roaming'!F:I,3,0)</f>
        <v>248</v>
      </c>
      <c r="F209" s="32" t="str">
        <f>VLOOKUP(A209,'[1]Global Roaming'!F:I,4,0)</f>
        <v>03</v>
      </c>
      <c r="G209" s="4" t="str">
        <f>VLOOKUP(A209,'[1]Global Roaming'!F:Z,21,0)</f>
        <v>Bilateral</v>
      </c>
      <c r="H209" s="4" t="str">
        <f>VLOOKUP(A209,'[1]Global Roaming'!F:L,7,0)</f>
        <v>YES</v>
      </c>
      <c r="I209" s="4" t="str">
        <f>VLOOKUP(A209,'[1]Global Roaming'!F:P,11,0)</f>
        <v>YES</v>
      </c>
      <c r="J209" s="4" t="str">
        <f>VLOOKUP(A209,'[1]Global Roaming'!F:T,15,0)</f>
        <v>YES</v>
      </c>
    </row>
    <row r="210" spans="1:10" customFormat="1" ht="15.75" thickBot="1" x14ac:dyDescent="0.3">
      <c r="A210" s="21" t="s">
        <v>454</v>
      </c>
      <c r="B210" s="201"/>
      <c r="C210" s="90" t="s">
        <v>455</v>
      </c>
      <c r="D210" s="6">
        <v>10</v>
      </c>
      <c r="E210" s="33" t="str">
        <f>VLOOKUP(A210,'[1]Global Roaming'!F:I,3,0)</f>
        <v>248</v>
      </c>
      <c r="F210" s="33" t="str">
        <f>VLOOKUP(A210,'[1]Global Roaming'!F:I,4,0)</f>
        <v>01</v>
      </c>
      <c r="G210" s="6" t="str">
        <f>VLOOKUP(A210,'[1]Global Roaming'!F:Z,21,0)</f>
        <v>Bilateral</v>
      </c>
      <c r="H210" s="6" t="str">
        <f>VLOOKUP(A210,'[1]Global Roaming'!F:L,7,0)</f>
        <v>YES</v>
      </c>
      <c r="I210" s="6" t="str">
        <f>VLOOKUP(A210,'[1]Global Roaming'!F:P,11,0)</f>
        <v>YES</v>
      </c>
      <c r="J210" s="6" t="str">
        <f>VLOOKUP(A210,'[1]Global Roaming'!F:T,15,0)</f>
        <v>YES</v>
      </c>
    </row>
    <row r="211" spans="1:10" customFormat="1" ht="15.75" thickBot="1" x14ac:dyDescent="0.3">
      <c r="A211" s="21" t="s">
        <v>456</v>
      </c>
      <c r="B211" s="198" t="s">
        <v>457</v>
      </c>
      <c r="C211" s="89" t="s">
        <v>458</v>
      </c>
      <c r="D211" s="7" t="s">
        <v>43</v>
      </c>
      <c r="E211" s="31" t="str">
        <f>VLOOKUP(A211,'[1]Global Roaming'!F:I,3,0)</f>
        <v>244</v>
      </c>
      <c r="F211" s="31" t="str">
        <f>VLOOKUP(A211,'[1]Global Roaming'!F:I,4,0)</f>
        <v>14</v>
      </c>
      <c r="G211" s="7" t="str">
        <f>VLOOKUP(A211,'[1]Global Roaming'!F:Z,21,0)</f>
        <v>Bilateral</v>
      </c>
      <c r="H211" s="7" t="str">
        <f>VLOOKUP(A211,'[1]Global Roaming'!F:L,7,0)</f>
        <v>YES</v>
      </c>
      <c r="I211" s="7" t="str">
        <f>VLOOKUP(A211,'[1]Global Roaming'!F:P,11,0)</f>
        <v>YES</v>
      </c>
      <c r="J211" s="7" t="str">
        <f>VLOOKUP(A211,'[1]Global Roaming'!F:T,15,0)</f>
        <v>YES</v>
      </c>
    </row>
    <row r="212" spans="1:10" customFormat="1" ht="15.75" thickBot="1" x14ac:dyDescent="0.3">
      <c r="A212" s="21" t="s">
        <v>459</v>
      </c>
      <c r="B212" s="199"/>
      <c r="C212" s="92" t="s">
        <v>460</v>
      </c>
      <c r="D212" s="4">
        <v>90</v>
      </c>
      <c r="E212" s="32" t="str">
        <f>VLOOKUP(A212,'[1]Global Roaming'!F:I,3,0)</f>
        <v>244</v>
      </c>
      <c r="F212" s="32" t="str">
        <f>VLOOKUP(A212,'[1]Global Roaming'!F:I,4,0)</f>
        <v>12</v>
      </c>
      <c r="G212" s="4" t="str">
        <f>VLOOKUP(A212,'[1]Global Roaming'!F:Z,21,0)</f>
        <v>Bilateral</v>
      </c>
      <c r="H212" s="4" t="str">
        <f>VLOOKUP(A212,'[1]Global Roaming'!F:L,7,0)</f>
        <v>YES</v>
      </c>
      <c r="I212" s="4" t="str">
        <f>VLOOKUP(A212,'[1]Global Roaming'!F:P,11,0)</f>
        <v>YES</v>
      </c>
      <c r="J212" s="4">
        <f>VLOOKUP(A212,'[1]Global Roaming'!F:T,15,0)</f>
        <v>0</v>
      </c>
    </row>
    <row r="213" spans="1:10" customFormat="1" ht="15.75" thickBot="1" x14ac:dyDescent="0.3">
      <c r="A213" s="21" t="s">
        <v>461</v>
      </c>
      <c r="B213" s="199"/>
      <c r="C213" s="92" t="s">
        <v>462</v>
      </c>
      <c r="D213" s="4" t="s">
        <v>10</v>
      </c>
      <c r="E213" s="32" t="str">
        <f>VLOOKUP(A213,'[1]Global Roaming'!F:I,3,0)</f>
        <v>244</v>
      </c>
      <c r="F213" s="32" t="str">
        <f>VLOOKUP(A213,'[1]Global Roaming'!F:I,4,0)</f>
        <v>05</v>
      </c>
      <c r="G213" s="4" t="str">
        <f>VLOOKUP(A213,'[1]Global Roaming'!F:Z,21,0)</f>
        <v>Bilateral</v>
      </c>
      <c r="H213" s="4" t="str">
        <f>VLOOKUP(A213,'[1]Global Roaming'!F:L,7,0)</f>
        <v>YES</v>
      </c>
      <c r="I213" s="4" t="str">
        <f>VLOOKUP(A213,'[1]Global Roaming'!F:P,11,0)</f>
        <v>YES</v>
      </c>
      <c r="J213" s="4" t="str">
        <f>VLOOKUP(A213,'[1]Global Roaming'!F:T,15,0)</f>
        <v>YES</v>
      </c>
    </row>
    <row r="214" spans="1:10" customFormat="1" ht="15.75" thickBot="1" x14ac:dyDescent="0.3">
      <c r="A214" s="21" t="s">
        <v>463</v>
      </c>
      <c r="B214" s="201"/>
      <c r="C214" s="90" t="s">
        <v>464</v>
      </c>
      <c r="D214" s="6">
        <v>10</v>
      </c>
      <c r="E214" s="33" t="str">
        <f>VLOOKUP(A214,'[1]Global Roaming'!F:I,3,0)</f>
        <v>244</v>
      </c>
      <c r="F214" s="33" t="str">
        <f>VLOOKUP(A214,'[1]Global Roaming'!F:I,4,0)</f>
        <v>91</v>
      </c>
      <c r="G214" s="6" t="str">
        <f>VLOOKUP(A214,'[1]Global Roaming'!F:Z,21,0)</f>
        <v>Bilateral</v>
      </c>
      <c r="H214" s="6" t="str">
        <f>VLOOKUP(A214,'[1]Global Roaming'!F:L,7,0)</f>
        <v>YES</v>
      </c>
      <c r="I214" s="6" t="str">
        <f>VLOOKUP(A214,'[1]Global Roaming'!F:P,11,0)</f>
        <v>YES</v>
      </c>
      <c r="J214" s="6" t="str">
        <f>VLOOKUP(A214,'[1]Global Roaming'!F:T,15,0)</f>
        <v>YES</v>
      </c>
    </row>
    <row r="215" spans="1:10" customFormat="1" ht="15.75" thickBot="1" x14ac:dyDescent="0.3">
      <c r="A215" s="21" t="s">
        <v>465</v>
      </c>
      <c r="B215" s="198" t="s">
        <v>466</v>
      </c>
      <c r="C215" s="89" t="s">
        <v>467</v>
      </c>
      <c r="D215" s="7" t="s">
        <v>43</v>
      </c>
      <c r="E215" s="31" t="str">
        <f>VLOOKUP(A215,'[1]Global Roaming'!F:I,3,0)</f>
        <v>620</v>
      </c>
      <c r="F215" s="31" t="str">
        <f>VLOOKUP(A215,'[1]Global Roaming'!F:I,4,0)</f>
        <v>03</v>
      </c>
      <c r="G215" s="7" t="str">
        <f>VLOOKUP(A215,'[1]Global Roaming'!F:Z,21,0)</f>
        <v>Bilateral</v>
      </c>
      <c r="H215" s="7" t="str">
        <f>VLOOKUP(A215,'[1]Global Roaming'!F:L,7,0)</f>
        <v>YES</v>
      </c>
      <c r="I215" s="7" t="str">
        <f>VLOOKUP(A215,'[1]Global Roaming'!F:P,11,0)</f>
        <v>YES</v>
      </c>
      <c r="J215" s="7" t="str">
        <f>VLOOKUP(A215,'[1]Global Roaming'!F:T,15,0)</f>
        <v>Planned</v>
      </c>
    </row>
    <row r="216" spans="1:10" customFormat="1" ht="15.75" thickBot="1" x14ac:dyDescent="0.3">
      <c r="A216" s="21" t="s">
        <v>468</v>
      </c>
      <c r="B216" s="199"/>
      <c r="C216" s="92" t="s">
        <v>469</v>
      </c>
      <c r="D216" s="4">
        <v>5</v>
      </c>
      <c r="E216" s="32"/>
      <c r="F216" s="32"/>
      <c r="G216" s="4"/>
      <c r="H216" s="4"/>
      <c r="I216" s="4"/>
      <c r="J216" s="4"/>
    </row>
    <row r="217" spans="1:10" customFormat="1" ht="15.75" thickBot="1" x14ac:dyDescent="0.3">
      <c r="A217" s="21" t="s">
        <v>470</v>
      </c>
      <c r="B217" s="201"/>
      <c r="C217" s="90" t="s">
        <v>471</v>
      </c>
      <c r="D217" s="6">
        <v>95</v>
      </c>
      <c r="E217" s="33" t="str">
        <f>VLOOKUP(A217,'[1]Global Roaming'!F:I,3,0)</f>
        <v>620</v>
      </c>
      <c r="F217" s="33" t="str">
        <f>VLOOKUP(A217,'[1]Global Roaming'!F:I,4,0)</f>
        <v>02</v>
      </c>
      <c r="G217" s="6" t="str">
        <f>VLOOKUP(A217,'[1]Global Roaming'!F:Z,21,0)</f>
        <v>Orange Hub</v>
      </c>
      <c r="H217" s="6" t="str">
        <f>VLOOKUP(A217,'[1]Global Roaming'!F:L,7,0)</f>
        <v>YES</v>
      </c>
      <c r="I217" s="6" t="str">
        <f>VLOOKUP(A217,'[1]Global Roaming'!F:P,11,0)</f>
        <v>YES</v>
      </c>
      <c r="J217" s="6" t="str">
        <f>VLOOKUP(A217,'[1]Global Roaming'!F:T,15,0)</f>
        <v>YES</v>
      </c>
    </row>
    <row r="218" spans="1:10" customFormat="1" ht="15.75" thickBot="1" x14ac:dyDescent="0.3">
      <c r="A218" s="21" t="s">
        <v>472</v>
      </c>
      <c r="B218" s="198" t="s">
        <v>473</v>
      </c>
      <c r="C218" s="89" t="s">
        <v>474</v>
      </c>
      <c r="D218" s="1">
        <v>10</v>
      </c>
      <c r="E218" s="29" t="str">
        <f>VLOOKUP(A218,'[1]Global Roaming'!F:I,3,0)</f>
        <v>611</v>
      </c>
      <c r="F218" s="29" t="str">
        <f>VLOOKUP(A218,'[1]Global Roaming'!F:I,4,0)</f>
        <v>04</v>
      </c>
      <c r="G218" s="1" t="str">
        <f>VLOOKUP(A218,'[1]Global Roaming'!F:Z,21,0)</f>
        <v>Orange Hub</v>
      </c>
      <c r="H218" s="1" t="str">
        <f>VLOOKUP(A218,'[1]Global Roaming'!F:L,7,0)</f>
        <v>Planned</v>
      </c>
      <c r="I218" s="1" t="str">
        <f>VLOOKUP(A218,'[1]Global Roaming'!F:P,11,0)</f>
        <v>Planned</v>
      </c>
      <c r="J218" s="1" t="str">
        <f>VLOOKUP(A218,'[1]Global Roaming'!F:T,15,0)</f>
        <v>N.A</v>
      </c>
    </row>
    <row r="219" spans="1:10" customFormat="1" ht="15.75" thickBot="1" x14ac:dyDescent="0.3">
      <c r="A219" s="21" t="s">
        <v>475</v>
      </c>
      <c r="B219" s="201"/>
      <c r="C219" s="90" t="s">
        <v>476</v>
      </c>
      <c r="D219" s="3">
        <v>90</v>
      </c>
      <c r="E219" s="30" t="str">
        <f>VLOOKUP(A219,'[1]Global Roaming'!F:I,3,0)</f>
        <v>611</v>
      </c>
      <c r="F219" s="30" t="str">
        <f>VLOOKUP(A219,'[1]Global Roaming'!F:I,4,0)</f>
        <v>01</v>
      </c>
      <c r="G219" s="3" t="str">
        <f>VLOOKUP(A219,'[1]Global Roaming'!F:Z,21,0)</f>
        <v>Orange Hub</v>
      </c>
      <c r="H219" s="3" t="str">
        <f>VLOOKUP(A219,'[1]Global Roaming'!F:L,7,0)</f>
        <v>YES</v>
      </c>
      <c r="I219" s="3" t="str">
        <f>VLOOKUP(A219,'[1]Global Roaming'!F:P,11,0)</f>
        <v>YES</v>
      </c>
      <c r="J219" s="3" t="str">
        <f>VLOOKUP(A219,'[1]Global Roaming'!F:T,15,0)</f>
        <v>YES</v>
      </c>
    </row>
    <row r="220" spans="1:10" customFormat="1" ht="15.75" thickBot="1" x14ac:dyDescent="0.3">
      <c r="A220" s="21" t="s">
        <v>477</v>
      </c>
      <c r="B220" s="198" t="s">
        <v>478</v>
      </c>
      <c r="C220" s="89" t="s">
        <v>479</v>
      </c>
      <c r="D220" s="7">
        <v>10</v>
      </c>
      <c r="E220" s="31" t="str">
        <f>VLOOKUP(A220,'[1]Global Roaming'!F:I,3,0)</f>
        <v>632</v>
      </c>
      <c r="F220" s="31" t="str">
        <f>VLOOKUP(A220,'[1]Global Roaming'!F:I,4,0)</f>
        <v>02</v>
      </c>
      <c r="G220" s="7" t="str">
        <f>VLOOKUP(A220,'[1]Global Roaming'!F:Z,21,0)</f>
        <v>Orange Hub</v>
      </c>
      <c r="H220" s="7">
        <f>VLOOKUP(A220,'[1]Global Roaming'!F:L,7,0)</f>
        <v>0</v>
      </c>
      <c r="I220" s="7">
        <f>VLOOKUP(A220,'[1]Global Roaming'!F:P,11,0)</f>
        <v>0</v>
      </c>
      <c r="J220" s="7">
        <f>VLOOKUP(A220,'[1]Global Roaming'!F:T,15,0)</f>
        <v>0</v>
      </c>
    </row>
    <row r="221" spans="1:10" customFormat="1" ht="15.75" thickBot="1" x14ac:dyDescent="0.3">
      <c r="A221" s="21" t="s">
        <v>480</v>
      </c>
      <c r="B221" s="201"/>
      <c r="C221" s="90" t="s">
        <v>481</v>
      </c>
      <c r="D221" s="6">
        <v>90</v>
      </c>
      <c r="E221" s="33">
        <f>VLOOKUP(A221,'[1]Global Roaming'!F:I,3,0)</f>
        <v>632</v>
      </c>
      <c r="F221" s="33" t="str">
        <f>VLOOKUP(A221,'[1]Global Roaming'!F:I,4,0)</f>
        <v>03</v>
      </c>
      <c r="G221" s="6" t="str">
        <f>VLOOKUP(A221,'[1]Global Roaming'!F:Z,21,0)</f>
        <v>Orange Hub</v>
      </c>
      <c r="H221" s="6" t="str">
        <f>VLOOKUP(A221,'[1]Global Roaming'!F:L,7,0)</f>
        <v>YES</v>
      </c>
      <c r="I221" s="6" t="str">
        <f>VLOOKUP(A221,'[1]Global Roaming'!F:P,11,0)</f>
        <v>YES</v>
      </c>
      <c r="J221" s="6" t="str">
        <f>VLOOKUP(A221,'[1]Global Roaming'!F:T,15,0)</f>
        <v>YES</v>
      </c>
    </row>
    <row r="222" spans="1:10" customFormat="1" ht="15.75" thickBot="1" x14ac:dyDescent="0.3">
      <c r="A222" s="21" t="s">
        <v>482</v>
      </c>
      <c r="B222" s="198" t="s">
        <v>483</v>
      </c>
      <c r="C222" s="89" t="s">
        <v>484</v>
      </c>
      <c r="D222" s="7">
        <v>10</v>
      </c>
      <c r="E222" s="31" t="str">
        <f>VLOOKUP(A222,'[1]Global Roaming'!F:I,3,0)</f>
        <v>216</v>
      </c>
      <c r="F222" s="31" t="str">
        <f>VLOOKUP(A222,'[1]Global Roaming'!F:I,4,0)</f>
        <v>30</v>
      </c>
      <c r="G222" s="7" t="str">
        <f>VLOOKUP(A222,'[1]Global Roaming'!F:Z,21,0)</f>
        <v>Bilateral</v>
      </c>
      <c r="H222" s="7" t="str">
        <f>VLOOKUP(A222,'[1]Global Roaming'!F:L,7,0)</f>
        <v>YES</v>
      </c>
      <c r="I222" s="7" t="str">
        <f>VLOOKUP(A222,'[1]Global Roaming'!F:P,11,0)</f>
        <v>Arrêté</v>
      </c>
      <c r="J222" s="7" t="str">
        <f>VLOOKUP(A222,'[1]Global Roaming'!F:T,15,0)</f>
        <v>YES</v>
      </c>
    </row>
    <row r="223" spans="1:10" customFormat="1" ht="15.75" thickBot="1" x14ac:dyDescent="0.3">
      <c r="A223" s="21" t="s">
        <v>485</v>
      </c>
      <c r="B223" s="199"/>
      <c r="C223" s="92" t="s">
        <v>486</v>
      </c>
      <c r="D223" s="4">
        <v>90</v>
      </c>
      <c r="E223" s="32" t="str">
        <f>VLOOKUP(A223,'[1]Global Roaming'!F:I,3,0)</f>
        <v>216</v>
      </c>
      <c r="F223" s="32" t="str">
        <f>VLOOKUP(A223,'[1]Global Roaming'!F:I,4,0)</f>
        <v>70</v>
      </c>
      <c r="G223" s="4" t="str">
        <f>VLOOKUP(A223,'[1]Global Roaming'!F:Z,21,0)</f>
        <v>Orange Hub</v>
      </c>
      <c r="H223" s="4" t="str">
        <f>VLOOKUP(A223,'[1]Global Roaming'!F:L,7,0)</f>
        <v>YES</v>
      </c>
      <c r="I223" s="4" t="str">
        <f>VLOOKUP(A223,'[1]Global Roaming'!F:P,11,0)</f>
        <v>YES</v>
      </c>
      <c r="J223" s="4" t="str">
        <f>VLOOKUP(A223,'[1]Global Roaming'!F:T,15,0)</f>
        <v>YES</v>
      </c>
    </row>
    <row r="224" spans="1:10" customFormat="1" ht="15.75" thickBot="1" x14ac:dyDescent="0.3">
      <c r="A224" s="21" t="s">
        <v>487</v>
      </c>
      <c r="B224" s="201"/>
      <c r="C224" s="90" t="s">
        <v>488</v>
      </c>
      <c r="D224" s="6" t="s">
        <v>10</v>
      </c>
      <c r="E224" s="33" t="str">
        <f>VLOOKUP(A224,'[1]Global Roaming'!F:I,3,0)</f>
        <v>216</v>
      </c>
      <c r="F224" s="33" t="str">
        <f>VLOOKUP(A224,'[1]Global Roaming'!F:I,4,0)</f>
        <v>01</v>
      </c>
      <c r="G224" s="6" t="str">
        <f>VLOOKUP(A224,'[1]Global Roaming'!F:Z,21,0)</f>
        <v>Bilateral</v>
      </c>
      <c r="H224" s="6" t="str">
        <f>VLOOKUP(A224,'[1]Global Roaming'!F:L,7,0)</f>
        <v>YES</v>
      </c>
      <c r="I224" s="6" t="str">
        <f>VLOOKUP(A224,'[1]Global Roaming'!F:P,11,0)</f>
        <v>YES</v>
      </c>
      <c r="J224" s="6" t="str">
        <f>VLOOKUP(A224,'[1]Global Roaming'!F:T,15,0)</f>
        <v>YES</v>
      </c>
    </row>
    <row r="225" spans="1:10" customFormat="1" ht="15.75" thickBot="1" x14ac:dyDescent="0.3">
      <c r="A225" s="21" t="s">
        <v>489</v>
      </c>
      <c r="B225" s="198" t="s">
        <v>490</v>
      </c>
      <c r="C225" s="89" t="s">
        <v>491</v>
      </c>
      <c r="D225" s="7">
        <v>10</v>
      </c>
      <c r="E225" s="31" t="str">
        <f>VLOOKUP(A225,'[1]Global Roaming'!F:I,3,0)</f>
        <v>440</v>
      </c>
      <c r="F225" s="31" t="str">
        <f>VLOOKUP(A225,'[1]Global Roaming'!F:I,4,0)</f>
        <v>10</v>
      </c>
      <c r="G225" s="7" t="str">
        <f>VLOOKUP(A225,'[1]Global Roaming'!F:Z,21,0)</f>
        <v>Bilateral</v>
      </c>
      <c r="H225" s="7" t="str">
        <f>VLOOKUP(A225,'[1]Global Roaming'!F:L,7,0)</f>
        <v>YES</v>
      </c>
      <c r="I225" s="7" t="str">
        <f>VLOOKUP(A225,'[1]Global Roaming'!F:P,11,0)</f>
        <v>YES</v>
      </c>
      <c r="J225" s="7" t="str">
        <f>VLOOKUP(A225,'[1]Global Roaming'!F:T,15,0)</f>
        <v>YES</v>
      </c>
    </row>
    <row r="226" spans="1:10" customFormat="1" ht="15.75" thickBot="1" x14ac:dyDescent="0.3">
      <c r="A226" s="21" t="s">
        <v>492</v>
      </c>
      <c r="B226" s="201"/>
      <c r="C226" s="90" t="s">
        <v>493</v>
      </c>
      <c r="D226" s="3">
        <v>90</v>
      </c>
      <c r="E226" s="30" t="str">
        <f>VLOOKUP(A226,'[1]Global Roaming'!F:I,3,0)</f>
        <v>440</v>
      </c>
      <c r="F226" s="30" t="str">
        <f>VLOOKUP(A226,'[1]Global Roaming'!F:I,4,0)</f>
        <v>20</v>
      </c>
      <c r="G226" s="3" t="str">
        <f>VLOOKUP(A226,'[1]Global Roaming'!F:Z,21,0)</f>
        <v>Bilateral</v>
      </c>
      <c r="H226" s="3" t="str">
        <f>VLOOKUP(A226,'[1]Global Roaming'!F:L,7,0)</f>
        <v>YES</v>
      </c>
      <c r="I226" s="3" t="str">
        <f>VLOOKUP(A226,'[1]Global Roaming'!F:P,11,0)</f>
        <v>YES</v>
      </c>
      <c r="J226" s="3" t="str">
        <f>VLOOKUP(A226,'[1]Global Roaming'!F:T,15,0)</f>
        <v>YES</v>
      </c>
    </row>
    <row r="227" spans="1:10" customFormat="1" ht="15.75" thickBot="1" x14ac:dyDescent="0.3">
      <c r="A227" s="21" t="s">
        <v>494</v>
      </c>
      <c r="B227" s="198" t="s">
        <v>495</v>
      </c>
      <c r="C227" s="89" t="s">
        <v>496</v>
      </c>
      <c r="D227" s="1">
        <v>100</v>
      </c>
      <c r="E227" s="29" t="str">
        <f>VLOOKUP(A227,'[1]Global Roaming'!F:I,3,0)</f>
        <v>401</v>
      </c>
      <c r="F227" s="29" t="str">
        <f>VLOOKUP(A227,'[1]Global Roaming'!F:I,4,0)</f>
        <v>01</v>
      </c>
      <c r="G227" s="1" t="str">
        <f>VLOOKUP(A227,'[1]Global Roaming'!F:Z,21,0)</f>
        <v>Comfone</v>
      </c>
      <c r="H227" s="1" t="str">
        <f>VLOOKUP(A227,'[1]Global Roaming'!F:L,7,0)</f>
        <v>YES</v>
      </c>
      <c r="I227" s="1" t="str">
        <f>VLOOKUP(A227,'[1]Global Roaming'!F:P,11,0)</f>
        <v>YES</v>
      </c>
      <c r="J227" s="1">
        <f>VLOOKUP(A227,'[1]Global Roaming'!F:T,15,0)</f>
        <v>0</v>
      </c>
    </row>
    <row r="228" spans="1:10" customFormat="1" ht="15.75" thickBot="1" x14ac:dyDescent="0.3">
      <c r="A228" s="21" t="s">
        <v>497</v>
      </c>
      <c r="B228" s="199"/>
      <c r="C228" s="92" t="s">
        <v>498</v>
      </c>
      <c r="D228" s="2" t="s">
        <v>43</v>
      </c>
      <c r="E228" s="27" t="str">
        <f>VLOOKUP(A228,'[1]Global Roaming'!F:I,3,0)</f>
        <v>401</v>
      </c>
      <c r="F228" s="27" t="str">
        <f>VLOOKUP(A228,'[1]Global Roaming'!F:I,4,0)</f>
        <v>02</v>
      </c>
      <c r="G228" s="2" t="str">
        <f>VLOOKUP(A228,'[1]Global Roaming'!F:Z,21,0)</f>
        <v>Bilateral</v>
      </c>
      <c r="H228" s="2" t="str">
        <f>VLOOKUP(A228,'[1]Global Roaming'!F:L,7,0)</f>
        <v>YES</v>
      </c>
      <c r="I228" s="2" t="str">
        <f>VLOOKUP(A228,'[1]Global Roaming'!F:P,11,0)</f>
        <v>YES</v>
      </c>
      <c r="J228" s="2">
        <f>VLOOKUP(A228,'[1]Global Roaming'!F:T,15,0)</f>
        <v>0</v>
      </c>
    </row>
    <row r="229" spans="1:10" customFormat="1" ht="15.75" thickBot="1" x14ac:dyDescent="0.3">
      <c r="A229" s="21" t="s">
        <v>499</v>
      </c>
      <c r="B229" s="201"/>
      <c r="C229" s="90" t="s">
        <v>500</v>
      </c>
      <c r="D229" s="3" t="s">
        <v>43</v>
      </c>
      <c r="E229" s="30" t="str">
        <f>VLOOKUP(A229,'[1]Global Roaming'!F:I,3,0)</f>
        <v>401</v>
      </c>
      <c r="F229" s="30" t="str">
        <f>VLOOKUP(A229,'[1]Global Roaming'!F:I,4,0)</f>
        <v>77</v>
      </c>
      <c r="G229" s="3" t="str">
        <f>VLOOKUP(A229,'[1]Global Roaming'!F:Z,21,0)</f>
        <v>Bilateral</v>
      </c>
      <c r="H229" s="3" t="str">
        <f>VLOOKUP(A229,'[1]Global Roaming'!F:L,7,0)</f>
        <v>YES</v>
      </c>
      <c r="I229" s="3" t="str">
        <f>VLOOKUP(A229,'[1]Global Roaming'!F:P,11,0)</f>
        <v>YES</v>
      </c>
      <c r="J229" s="3">
        <f>VLOOKUP(A229,'[1]Global Roaming'!F:T,15,0)</f>
        <v>0</v>
      </c>
    </row>
    <row r="230" spans="1:10" customFormat="1" ht="15.75" thickBot="1" x14ac:dyDescent="0.3">
      <c r="A230" s="21" t="s">
        <v>501</v>
      </c>
      <c r="B230" s="198" t="s">
        <v>502</v>
      </c>
      <c r="C230" s="89" t="s">
        <v>503</v>
      </c>
      <c r="D230" s="7" t="s">
        <v>43</v>
      </c>
      <c r="E230" s="31" t="str">
        <f>VLOOKUP(A230,'[1]Global Roaming'!F:I,3,0)</f>
        <v>450</v>
      </c>
      <c r="F230" s="31" t="str">
        <f>VLOOKUP(A230,'[1]Global Roaming'!F:I,4,0)</f>
        <v>08</v>
      </c>
      <c r="G230" s="7" t="str">
        <f>VLOOKUP(A230,'[1]Global Roaming'!F:Z,21,0)</f>
        <v>Bilateral</v>
      </c>
      <c r="H230" s="7" t="str">
        <f>VLOOKUP(A230,'[1]Global Roaming'!F:L,7,0)</f>
        <v>YES</v>
      </c>
      <c r="I230" s="7" t="str">
        <f>VLOOKUP(A230,'[1]Global Roaming'!F:P,11,0)</f>
        <v>YES</v>
      </c>
      <c r="J230" s="7">
        <f>VLOOKUP(A230,'[1]Global Roaming'!F:T,15,0)</f>
        <v>0</v>
      </c>
    </row>
    <row r="231" spans="1:10" customFormat="1" ht="15.75" thickBot="1" x14ac:dyDescent="0.3">
      <c r="A231" s="21" t="s">
        <v>504</v>
      </c>
      <c r="B231" s="201"/>
      <c r="C231" s="90" t="s">
        <v>505</v>
      </c>
      <c r="D231" s="6">
        <v>100</v>
      </c>
      <c r="E231" s="33" t="str">
        <f>VLOOKUP(A231,'[1]Global Roaming'!F:I,3,0)</f>
        <v>450</v>
      </c>
      <c r="F231" s="33" t="str">
        <f>VLOOKUP(A231,'[1]Global Roaming'!F:I,4,0)</f>
        <v>05</v>
      </c>
      <c r="G231" s="6" t="str">
        <f>VLOOKUP(A231,'[1]Global Roaming'!F:Z,21,0)</f>
        <v>Bilateral</v>
      </c>
      <c r="H231" s="6" t="str">
        <f>VLOOKUP(A231,'[1]Global Roaming'!F:L,7,0)</f>
        <v>Arrêté</v>
      </c>
      <c r="I231" s="6" t="str">
        <f>VLOOKUP(A231,'[1]Global Roaming'!F:P,11,0)</f>
        <v>YES</v>
      </c>
      <c r="J231" s="6" t="str">
        <f>VLOOKUP(A231,'[1]Global Roaming'!F:T,15,0)</f>
        <v>YES</v>
      </c>
    </row>
    <row r="232" spans="1:10" customFormat="1" ht="15.75" thickBot="1" x14ac:dyDescent="0.3">
      <c r="A232" s="21" t="s">
        <v>506</v>
      </c>
      <c r="B232" s="198" t="s">
        <v>507</v>
      </c>
      <c r="C232" s="89" t="s">
        <v>508</v>
      </c>
      <c r="D232" s="7">
        <v>5</v>
      </c>
      <c r="E232" s="31" t="str">
        <f>VLOOKUP(A232,'[1]Global Roaming'!F:I,3,0)</f>
        <v>247</v>
      </c>
      <c r="F232" s="31" t="str">
        <f>VLOOKUP(A232,'[1]Global Roaming'!F:I,4,0)</f>
        <v>01</v>
      </c>
      <c r="G232" s="7" t="str">
        <f>VLOOKUP(A232,'[1]Global Roaming'!F:Z,21,0)</f>
        <v>Bilateral</v>
      </c>
      <c r="H232" s="7" t="str">
        <f>VLOOKUP(A232,'[1]Global Roaming'!F:L,7,0)</f>
        <v>YES</v>
      </c>
      <c r="I232" s="7" t="str">
        <f>VLOOKUP(A232,'[1]Global Roaming'!F:P,11,0)</f>
        <v>YES</v>
      </c>
      <c r="J232" s="7" t="str">
        <f>VLOOKUP(A232,'[1]Global Roaming'!F:T,15,0)</f>
        <v>YES</v>
      </c>
    </row>
    <row r="233" spans="1:10" customFormat="1" ht="15.75" thickBot="1" x14ac:dyDescent="0.3">
      <c r="A233" s="21" t="s">
        <v>509</v>
      </c>
      <c r="B233" s="199"/>
      <c r="C233" s="92" t="s">
        <v>510</v>
      </c>
      <c r="D233" s="4">
        <v>90</v>
      </c>
      <c r="E233" s="32" t="str">
        <f>VLOOKUP(A233,'[1]Global Roaming'!F:I,3,0)</f>
        <v>247</v>
      </c>
      <c r="F233" s="32" t="str">
        <f>VLOOKUP(A233,'[1]Global Roaming'!F:I,4,0)</f>
        <v>05</v>
      </c>
      <c r="G233" s="4" t="str">
        <f>VLOOKUP(A233,'[1]Global Roaming'!F:Z,21,0)</f>
        <v>Comfone</v>
      </c>
      <c r="H233" s="4" t="str">
        <f>VLOOKUP(A233,'[1]Global Roaming'!F:L,7,0)</f>
        <v>YES</v>
      </c>
      <c r="I233" s="4" t="str">
        <f>VLOOKUP(A233,'[1]Global Roaming'!F:P,11,0)</f>
        <v>YES</v>
      </c>
      <c r="J233" s="4" t="str">
        <f>VLOOKUP(A233,'[1]Global Roaming'!F:T,15,0)</f>
        <v>YES</v>
      </c>
    </row>
    <row r="234" spans="1:10" customFormat="1" ht="15.75" thickBot="1" x14ac:dyDescent="0.3">
      <c r="A234" s="21" t="s">
        <v>511</v>
      </c>
      <c r="B234" s="201"/>
      <c r="C234" s="90" t="s">
        <v>512</v>
      </c>
      <c r="D234" s="6">
        <v>5</v>
      </c>
      <c r="E234" s="33" t="str">
        <f>VLOOKUP(A234,'[1]Global Roaming'!F:I,3,0)</f>
        <v>247</v>
      </c>
      <c r="F234" s="33" t="str">
        <f>VLOOKUP(A234,'[1]Global Roaming'!F:I,4,0)</f>
        <v>02</v>
      </c>
      <c r="G234" s="6" t="str">
        <f>VLOOKUP(A234,'[1]Global Roaming'!F:Z,21,0)</f>
        <v>Bilateral</v>
      </c>
      <c r="H234" s="6" t="str">
        <f>VLOOKUP(A234,'[1]Global Roaming'!F:L,7,0)</f>
        <v>YES</v>
      </c>
      <c r="I234" s="6" t="str">
        <f>VLOOKUP(A234,'[1]Global Roaming'!F:P,11,0)</f>
        <v>YES</v>
      </c>
      <c r="J234" s="6" t="str">
        <f>VLOOKUP(A234,'[1]Global Roaming'!F:T,15,0)</f>
        <v>YES</v>
      </c>
    </row>
    <row r="235" spans="1:10" customFormat="1" ht="15.75" thickBot="1" x14ac:dyDescent="0.3">
      <c r="A235" s="21" t="s">
        <v>513</v>
      </c>
      <c r="B235" s="198" t="s">
        <v>514</v>
      </c>
      <c r="C235" s="103" t="s">
        <v>515</v>
      </c>
      <c r="D235" s="1" t="s">
        <v>10</v>
      </c>
      <c r="E235" s="29" t="str">
        <f>VLOOKUP(A235,'[1]Global Roaming'!F:I,3,0)</f>
        <v>295</v>
      </c>
      <c r="F235" s="29" t="str">
        <f>VLOOKUP(A235,'[1]Global Roaming'!F:I,4,0)</f>
        <v>02</v>
      </c>
      <c r="G235" s="1" t="str">
        <f>VLOOKUP(A235,'[1]Global Roaming'!F:Z,21,0)</f>
        <v>Orange Hub</v>
      </c>
      <c r="H235" s="1" t="str">
        <f>VLOOKUP(A235,'[1]Global Roaming'!F:L,7,0)</f>
        <v>YES</v>
      </c>
      <c r="I235" s="1" t="str">
        <f>VLOOKUP(A235,'[1]Global Roaming'!F:P,11,0)</f>
        <v>YES</v>
      </c>
      <c r="J235" s="1">
        <f>VLOOKUP(A235,'[1]Global Roaming'!F:T,15,0)</f>
        <v>0</v>
      </c>
    </row>
    <row r="236" spans="1:10" customFormat="1" ht="15.75" thickBot="1" x14ac:dyDescent="0.3">
      <c r="A236" s="21" t="s">
        <v>516</v>
      </c>
      <c r="B236" s="201"/>
      <c r="C236" s="104" t="s">
        <v>517</v>
      </c>
      <c r="D236" s="3">
        <v>100</v>
      </c>
      <c r="E236" s="30" t="str">
        <f>VLOOKUP(A236,'[1]Global Roaming'!F:I,3,0)</f>
        <v>295</v>
      </c>
      <c r="F236" s="30" t="str">
        <f>VLOOKUP(A236,'[1]Global Roaming'!F:I,4,0)</f>
        <v>05</v>
      </c>
      <c r="G236" s="3" t="str">
        <f>VLOOKUP(A236,'[1]Global Roaming'!F:Z,21,0)</f>
        <v>Bilateral</v>
      </c>
      <c r="H236" s="3" t="str">
        <f>VLOOKUP(A236,'[1]Global Roaming'!F:L,7,0)</f>
        <v>YES</v>
      </c>
      <c r="I236" s="3" t="str">
        <f>VLOOKUP(A236,'[1]Global Roaming'!F:P,11,0)</f>
        <v>YES</v>
      </c>
      <c r="J236" s="3" t="str">
        <f>VLOOKUP(A236,'[1]Global Roaming'!F:T,15,0)</f>
        <v>YES</v>
      </c>
    </row>
    <row r="237" spans="1:10" customFormat="1" ht="15.75" thickBot="1" x14ac:dyDescent="0.3">
      <c r="A237" s="21" t="s">
        <v>518</v>
      </c>
      <c r="B237" s="199" t="s">
        <v>519</v>
      </c>
      <c r="C237" s="92" t="s">
        <v>520</v>
      </c>
      <c r="D237" s="2">
        <v>100</v>
      </c>
      <c r="E237" s="27">
        <f>VLOOKUP(A237,'[1]Global Roaming'!F:I,3,0)</f>
        <v>294</v>
      </c>
      <c r="F237" s="27" t="str">
        <f>VLOOKUP(A237,'[1]Global Roaming'!F:I,4,0)</f>
        <v>03</v>
      </c>
      <c r="G237" s="2" t="str">
        <f>VLOOKUP(A237,'[1]Global Roaming'!F:Z,21,0)</f>
        <v>Bilateral</v>
      </c>
      <c r="H237" s="2" t="str">
        <f>VLOOKUP(A237,'[1]Global Roaming'!F:L,7,0)</f>
        <v>YES</v>
      </c>
      <c r="I237" s="2" t="str">
        <f>VLOOKUP(A237,'[1]Global Roaming'!F:P,11,0)</f>
        <v>YES</v>
      </c>
      <c r="J237" s="2" t="str">
        <f>VLOOKUP(A237,'[1]Global Roaming'!F:T,15,0)</f>
        <v>YES</v>
      </c>
    </row>
    <row r="238" spans="1:10" customFormat="1" ht="15.75" thickBot="1" x14ac:dyDescent="0.3">
      <c r="A238" s="21" t="s">
        <v>521</v>
      </c>
      <c r="B238" s="200"/>
      <c r="C238" s="93" t="s">
        <v>522</v>
      </c>
      <c r="D238" s="5" t="s">
        <v>43</v>
      </c>
      <c r="E238" s="28" t="str">
        <f>VLOOKUP(A238,'[1]Global Roaming'!F:I,3,0)</f>
        <v>294</v>
      </c>
      <c r="F238" s="28" t="str">
        <f>VLOOKUP(A238,'[1]Global Roaming'!F:I,4,0)</f>
        <v>01</v>
      </c>
      <c r="G238" s="5" t="str">
        <f>VLOOKUP(A238,'[1]Global Roaming'!F:Z,21,0)</f>
        <v>Comfone</v>
      </c>
      <c r="H238" s="5" t="str">
        <f>VLOOKUP(A238,'[1]Global Roaming'!F:L,7,0)</f>
        <v>YES</v>
      </c>
      <c r="I238" s="5" t="str">
        <f>VLOOKUP(A238,'[1]Global Roaming'!F:P,11,0)</f>
        <v>YES</v>
      </c>
      <c r="J238" s="5">
        <f>VLOOKUP(A238,'[1]Global Roaming'!F:T,15,0)</f>
        <v>0</v>
      </c>
    </row>
    <row r="239" spans="1:10" customFormat="1" ht="15.75" thickBot="1" x14ac:dyDescent="0.3">
      <c r="A239" s="21" t="s">
        <v>523</v>
      </c>
      <c r="B239" s="198" t="s">
        <v>524</v>
      </c>
      <c r="C239" s="89" t="s">
        <v>525</v>
      </c>
      <c r="D239" s="7">
        <v>90</v>
      </c>
      <c r="E239" s="31" t="str">
        <f>VLOOKUP(A239,'[1]Global Roaming'!F:I,3,0)</f>
        <v>502</v>
      </c>
      <c r="F239" s="31" t="str">
        <f>VLOOKUP(A239,'[1]Global Roaming'!F:I,4,0)</f>
        <v>16</v>
      </c>
      <c r="G239" s="7" t="str">
        <f>VLOOKUP(A239,'[1]Global Roaming'!F:Z,21,0)</f>
        <v>Orange Hub</v>
      </c>
      <c r="H239" s="7" t="str">
        <f>VLOOKUP(A239,'[1]Global Roaming'!F:L,7,0)</f>
        <v>YES</v>
      </c>
      <c r="I239" s="7" t="str">
        <f>VLOOKUP(A239,'[1]Global Roaming'!F:P,11,0)</f>
        <v>Arrêté</v>
      </c>
      <c r="J239" s="7" t="str">
        <f>VLOOKUP(A239,'[1]Global Roaming'!F:T,15,0)</f>
        <v>Planned</v>
      </c>
    </row>
    <row r="240" spans="1:10" customFormat="1" ht="15.75" thickBot="1" x14ac:dyDescent="0.3">
      <c r="A240" s="21" t="s">
        <v>526</v>
      </c>
      <c r="B240" s="199"/>
      <c r="C240" s="92" t="s">
        <v>527</v>
      </c>
      <c r="D240" s="4" t="s">
        <v>43</v>
      </c>
      <c r="E240" s="32" t="str">
        <f>VLOOKUP(A240,'[1]Global Roaming'!F:I,3,0)</f>
        <v>502</v>
      </c>
      <c r="F240" s="32" t="str">
        <f>VLOOKUP(A240,'[1]Global Roaming'!F:I,4,0)</f>
        <v>18</v>
      </c>
      <c r="G240" s="4" t="str">
        <f>VLOOKUP(A240,'[1]Global Roaming'!F:Z,21,0)</f>
        <v>Orange Hub</v>
      </c>
      <c r="H240" s="4" t="str">
        <f>VLOOKUP(A240,'[1]Global Roaming'!F:L,7,0)</f>
        <v>Arrêté</v>
      </c>
      <c r="I240" s="4" t="str">
        <f>VLOOKUP(A240,'[1]Global Roaming'!F:P,11,0)</f>
        <v>Arrêté</v>
      </c>
      <c r="J240" s="4" t="str">
        <f>VLOOKUP(A240,'[1]Global Roaming'!F:T,15,0)</f>
        <v>YES</v>
      </c>
    </row>
    <row r="241" spans="1:10" customFormat="1" ht="15.75" thickBot="1" x14ac:dyDescent="0.3">
      <c r="A241" s="21" t="s">
        <v>528</v>
      </c>
      <c r="B241" s="201"/>
      <c r="C241" s="90" t="s">
        <v>529</v>
      </c>
      <c r="D241" s="6">
        <v>10</v>
      </c>
      <c r="E241" s="33" t="str">
        <f>VLOOKUP(A241,'[1]Global Roaming'!F:I,3,0)</f>
        <v>502</v>
      </c>
      <c r="F241" s="33" t="str">
        <f>VLOOKUP(A241,'[1]Global Roaming'!F:I,4,0)</f>
        <v>12</v>
      </c>
      <c r="G241" s="6" t="str">
        <f>VLOOKUP(A241,'[1]Global Roaming'!F:Z,21,0)</f>
        <v>Bilateral</v>
      </c>
      <c r="H241" s="6" t="str">
        <f>VLOOKUP(A241,'[1]Global Roaming'!F:L,7,0)</f>
        <v>YES</v>
      </c>
      <c r="I241" s="6" t="str">
        <f>VLOOKUP(A241,'[1]Global Roaming'!F:P,11,0)</f>
        <v>Arrêté</v>
      </c>
      <c r="J241" s="6" t="str">
        <f>VLOOKUP(A241,'[1]Global Roaming'!F:T,15,0)</f>
        <v>YES</v>
      </c>
    </row>
    <row r="242" spans="1:10" customFormat="1" ht="15.75" thickBot="1" x14ac:dyDescent="0.3">
      <c r="A242" s="21" t="s">
        <v>530</v>
      </c>
      <c r="B242" s="198" t="s">
        <v>531</v>
      </c>
      <c r="C242" s="89" t="s">
        <v>532</v>
      </c>
      <c r="D242" s="1">
        <v>80</v>
      </c>
      <c r="E242" s="29">
        <f>VLOOKUP(A242,'[1]Global Roaming'!F:I,3,0)</f>
        <v>334</v>
      </c>
      <c r="F242" s="29">
        <f>VLOOKUP(A242,'[1]Global Roaming'!F:I,4,0)</f>
        <v>50</v>
      </c>
      <c r="G242" s="1" t="str">
        <f>VLOOKUP(A242,'[1]Global Roaming'!F:Z,21,0)</f>
        <v>Orange Hub</v>
      </c>
      <c r="H242" s="1" t="str">
        <f>VLOOKUP(A242,'[1]Global Roaming'!F:L,7,0)</f>
        <v>YES</v>
      </c>
      <c r="I242" s="1" t="str">
        <f>VLOOKUP(A242,'[1]Global Roaming'!F:P,11,0)</f>
        <v>YES</v>
      </c>
      <c r="J242" s="1">
        <f>VLOOKUP(A242,'[1]Global Roaming'!F:T,15,0)</f>
        <v>0</v>
      </c>
    </row>
    <row r="243" spans="1:10" customFormat="1" ht="15.75" thickBot="1" x14ac:dyDescent="0.3">
      <c r="A243" s="21" t="s">
        <v>632</v>
      </c>
      <c r="B243" s="208"/>
      <c r="C243" s="106" t="s">
        <v>532</v>
      </c>
      <c r="D243" s="18">
        <v>80</v>
      </c>
      <c r="E243" s="36">
        <f>VLOOKUP(A243,'[1]Global Roaming'!F:I,3,0)</f>
        <v>334</v>
      </c>
      <c r="F243" s="36">
        <f>VLOOKUP(A243,'[1]Global Roaming'!F:I,4,0)</f>
        <v>90</v>
      </c>
      <c r="G243" s="18" t="str">
        <f>VLOOKUP(A243,'[1]Global Roaming'!F:Z,21,0)</f>
        <v>Comfone</v>
      </c>
      <c r="H243" s="18">
        <f>VLOOKUP(A243,'[1]Global Roaming'!F:L,7,0)</f>
        <v>0</v>
      </c>
      <c r="I243" s="18">
        <f>VLOOKUP(A243,'[1]Global Roaming'!F:P,11,0)</f>
        <v>0</v>
      </c>
      <c r="J243" s="18">
        <f>VLOOKUP(A243,'[1]Global Roaming'!F:T,15,0)</f>
        <v>0</v>
      </c>
    </row>
    <row r="244" spans="1:10" customFormat="1" ht="15.75" thickBot="1" x14ac:dyDescent="0.3">
      <c r="A244" s="21" t="s">
        <v>533</v>
      </c>
      <c r="B244" s="201"/>
      <c r="C244" s="90" t="s">
        <v>534</v>
      </c>
      <c r="D244" s="3">
        <v>20</v>
      </c>
      <c r="E244" s="30" t="str">
        <f>VLOOKUP(A244,'[1]Global Roaming'!F:I,3,0)</f>
        <v>334</v>
      </c>
      <c r="F244" s="30" t="str">
        <f>VLOOKUP(A244,'[1]Global Roaming'!F:I,4,0)</f>
        <v>030</v>
      </c>
      <c r="G244" s="3" t="str">
        <f>VLOOKUP(A244,'[1]Global Roaming'!F:Z,21,0)</f>
        <v>Bilateral</v>
      </c>
      <c r="H244" s="3" t="str">
        <f>VLOOKUP(A244,'[1]Global Roaming'!F:L,7,0)</f>
        <v>YES</v>
      </c>
      <c r="I244" s="3" t="str">
        <f>VLOOKUP(A244,'[1]Global Roaming'!F:P,11,0)</f>
        <v>YES</v>
      </c>
      <c r="J244" s="3" t="str">
        <f>VLOOKUP(A244,'[1]Global Roaming'!F:T,15,0)</f>
        <v>YES</v>
      </c>
    </row>
    <row r="245" spans="1:10" customFormat="1" ht="15.75" thickBot="1" x14ac:dyDescent="0.3">
      <c r="A245" s="21" t="s">
        <v>643</v>
      </c>
      <c r="B245" s="198" t="s">
        <v>536</v>
      </c>
      <c r="C245" s="89" t="s">
        <v>644</v>
      </c>
      <c r="D245" s="1">
        <v>100</v>
      </c>
      <c r="E245" s="29">
        <f>VLOOKUP(A245,'[1]Global Roaming'!F:I,3,0)</f>
        <v>297</v>
      </c>
      <c r="F245" s="112" t="s">
        <v>647</v>
      </c>
      <c r="G245" s="1" t="str">
        <f>VLOOKUP(A245,'[1]Global Roaming'!F:Z,21,0)</f>
        <v>Bilateral</v>
      </c>
      <c r="H245" s="1" t="str">
        <f>VLOOKUP(A245,'[1]Global Roaming'!F:L,7,0)</f>
        <v>YES</v>
      </c>
      <c r="I245" s="1" t="str">
        <f>VLOOKUP(A245,'[1]Global Roaming'!F:P,11,0)</f>
        <v>YES</v>
      </c>
      <c r="J245" s="1">
        <f>VLOOKUP(A245,'[1]Global Roaming'!F:T,15,0)</f>
        <v>0</v>
      </c>
    </row>
    <row r="246" spans="1:10" customFormat="1" ht="15.75" thickBot="1" x14ac:dyDescent="0.3">
      <c r="A246" s="21" t="s">
        <v>535</v>
      </c>
      <c r="B246" s="208"/>
      <c r="C246" s="106" t="s">
        <v>645</v>
      </c>
      <c r="D246" s="18" t="s">
        <v>10</v>
      </c>
      <c r="E246" s="29" t="str">
        <f>VLOOKUP(A246,'[1]Global Roaming'!F:I,3,0)</f>
        <v>297</v>
      </c>
      <c r="F246" s="112" t="s">
        <v>648</v>
      </c>
      <c r="G246" s="1" t="str">
        <f>VLOOKUP(A246,'[1]Global Roaming'!F:Z,21,0)</f>
        <v>Bilateral</v>
      </c>
      <c r="H246" s="1" t="str">
        <f>VLOOKUP(A246,'[1]Global Roaming'!F:L,7,0)</f>
        <v>YES</v>
      </c>
      <c r="I246" s="1" t="str">
        <f>VLOOKUP(A246,'[1]Global Roaming'!F:P,11,0)</f>
        <v>YES</v>
      </c>
      <c r="J246" s="1" t="str">
        <f>VLOOKUP(A246,'[1]Global Roaming'!F:T,15,0)</f>
        <v>YES</v>
      </c>
    </row>
    <row r="247" spans="1:10" customFormat="1" ht="15.75" thickBot="1" x14ac:dyDescent="0.3">
      <c r="A247" s="21" t="s">
        <v>537</v>
      </c>
      <c r="B247" s="201"/>
      <c r="C247" s="90" t="s">
        <v>646</v>
      </c>
      <c r="D247" s="3" t="s">
        <v>43</v>
      </c>
      <c r="E247" s="29" t="str">
        <f>VLOOKUP(A247,'[1]Global Roaming'!F:I,3,0)</f>
        <v>297</v>
      </c>
      <c r="F247" s="112" t="s">
        <v>649</v>
      </c>
      <c r="G247" s="3" t="str">
        <f>VLOOKUP(A247,'[1]Global Roaming'!F:Z,21,0)</f>
        <v>Comfone</v>
      </c>
      <c r="H247" s="3" t="str">
        <f>VLOOKUP(A247,'[1]Global Roaming'!F:L,7,0)</f>
        <v>YES</v>
      </c>
      <c r="I247" s="3" t="str">
        <f>VLOOKUP(A247,'[1]Global Roaming'!F:P,11,0)</f>
        <v>YES</v>
      </c>
      <c r="J247" s="3" t="str">
        <f>VLOOKUP(A247,'[1]Global Roaming'!F:T,15,0)</f>
        <v>YES</v>
      </c>
    </row>
    <row r="248" spans="1:10" customFormat="1" ht="15.75" thickBot="1" x14ac:dyDescent="0.3">
      <c r="A248" s="21" t="s">
        <v>538</v>
      </c>
      <c r="B248" s="198" t="s">
        <v>539</v>
      </c>
      <c r="C248" s="89" t="s">
        <v>540</v>
      </c>
      <c r="D248" s="7" t="s">
        <v>43</v>
      </c>
      <c r="E248" s="31" t="str">
        <f>VLOOKUP(A248,'[1]Global Roaming'!F:I,3,0)</f>
        <v>643</v>
      </c>
      <c r="F248" s="31" t="str">
        <f>VLOOKUP(A248,'[1]Global Roaming'!F:I,4,0)</f>
        <v>01</v>
      </c>
      <c r="G248" s="7" t="str">
        <f>VLOOKUP(A248,'[1]Global Roaming'!F:Z,21,0)</f>
        <v>Bilateral</v>
      </c>
      <c r="H248" s="7" t="str">
        <f>VLOOKUP(A248,'[1]Global Roaming'!F:L,7,0)</f>
        <v>YES</v>
      </c>
      <c r="I248" s="7" t="str">
        <f>VLOOKUP(A248,'[1]Global Roaming'!F:P,11,0)</f>
        <v>YES</v>
      </c>
      <c r="J248" s="7">
        <f>VLOOKUP(A248,'[1]Global Roaming'!F:T,15,0)</f>
        <v>0</v>
      </c>
    </row>
    <row r="249" spans="1:10" customFormat="1" ht="15.75" thickBot="1" x14ac:dyDescent="0.3">
      <c r="A249" s="21" t="s">
        <v>541</v>
      </c>
      <c r="B249" s="199"/>
      <c r="C249" s="92" t="s">
        <v>542</v>
      </c>
      <c r="D249" s="4" t="s">
        <v>43</v>
      </c>
      <c r="E249" s="32" t="str">
        <f>VLOOKUP(A249,'[1]Global Roaming'!F:I,3,0)</f>
        <v>643</v>
      </c>
      <c r="F249" s="32" t="str">
        <f>VLOOKUP(A249,'[1]Global Roaming'!F:I,4,0)</f>
        <v>03</v>
      </c>
      <c r="G249" s="4" t="str">
        <f>VLOOKUP(A249,'[1]Global Roaming'!F:Z,21,0)</f>
        <v>Comfone</v>
      </c>
      <c r="H249" s="4" t="str">
        <f>VLOOKUP(A249,'[1]Global Roaming'!F:L,7,0)</f>
        <v>YES</v>
      </c>
      <c r="I249" s="4" t="str">
        <f>VLOOKUP(A249,'[1]Global Roaming'!F:P,11,0)</f>
        <v>YES</v>
      </c>
      <c r="J249" s="4" t="str">
        <f>VLOOKUP(A249,'[1]Global Roaming'!F:T,15,0)</f>
        <v>YES</v>
      </c>
    </row>
    <row r="250" spans="1:10" customFormat="1" ht="15.75" thickBot="1" x14ac:dyDescent="0.3">
      <c r="A250" s="21" t="s">
        <v>543</v>
      </c>
      <c r="B250" s="201"/>
      <c r="C250" s="90" t="s">
        <v>544</v>
      </c>
      <c r="D250" s="6">
        <v>100</v>
      </c>
      <c r="E250" s="33" t="str">
        <f>VLOOKUP(A250,'[1]Global Roaming'!F:I,3,0)</f>
        <v>643</v>
      </c>
      <c r="F250" s="33" t="str">
        <f>VLOOKUP(A250,'[1]Global Roaming'!F:I,4,0)</f>
        <v>04</v>
      </c>
      <c r="G250" s="6" t="str">
        <f>VLOOKUP(A250,'[1]Global Roaming'!F:Z,21,0)</f>
        <v>Orange Hub</v>
      </c>
      <c r="H250" s="6" t="str">
        <f>VLOOKUP(A250,'[1]Global Roaming'!F:L,7,0)</f>
        <v>YES</v>
      </c>
      <c r="I250" s="6" t="str">
        <f>VLOOKUP(A250,'[1]Global Roaming'!F:P,11,0)</f>
        <v>YES</v>
      </c>
      <c r="J250" s="6" t="str">
        <f>VLOOKUP(A250,'[1]Global Roaming'!F:T,15,0)</f>
        <v>YES</v>
      </c>
    </row>
    <row r="251" spans="1:10" customFormat="1" ht="15.75" thickBot="1" x14ac:dyDescent="0.3">
      <c r="A251" s="21" t="s">
        <v>545</v>
      </c>
      <c r="B251" s="199" t="s">
        <v>546</v>
      </c>
      <c r="C251" s="92" t="s">
        <v>547</v>
      </c>
      <c r="D251" s="4" t="s">
        <v>43</v>
      </c>
      <c r="E251" s="32" t="str">
        <f>VLOOKUP(A251,'[1]Global Roaming'!F:I,3,0)</f>
        <v>414</v>
      </c>
      <c r="F251" s="32" t="str">
        <f>VLOOKUP(A251,'[1]Global Roaming'!F:I,4,0)</f>
        <v>01</v>
      </c>
      <c r="G251" s="4" t="str">
        <f>VLOOKUP(A251,'[1]Global Roaming'!F:Z,21,0)</f>
        <v>Orange Hub</v>
      </c>
      <c r="H251" s="4" t="str">
        <f>VLOOKUP(A251,'[1]Global Roaming'!F:L,7,0)</f>
        <v>YES</v>
      </c>
      <c r="I251" s="4" t="str">
        <f>VLOOKUP(A251,'[1]Global Roaming'!F:P,11,0)</f>
        <v>YES</v>
      </c>
      <c r="J251" s="4">
        <f>VLOOKUP(A251,'[1]Global Roaming'!F:T,15,0)</f>
        <v>0</v>
      </c>
    </row>
    <row r="252" spans="1:10" customFormat="1" ht="15.75" thickBot="1" x14ac:dyDescent="0.3">
      <c r="A252" s="21" t="s">
        <v>548</v>
      </c>
      <c r="B252" s="199"/>
      <c r="C252" s="92" t="s">
        <v>549</v>
      </c>
      <c r="D252" s="4" t="s">
        <v>43</v>
      </c>
      <c r="E252" s="32" t="str">
        <f>VLOOKUP(A252,'[1]Global Roaming'!F:I,3,0)</f>
        <v>414</v>
      </c>
      <c r="F252" s="32" t="str">
        <f>VLOOKUP(A252,'[1]Global Roaming'!F:I,4,0)</f>
        <v>05</v>
      </c>
      <c r="G252" s="4" t="str">
        <f>VLOOKUP(A252,'[1]Global Roaming'!F:Z,21,0)</f>
        <v>Comfone</v>
      </c>
      <c r="H252" s="4" t="str">
        <f>VLOOKUP(A252,'[1]Global Roaming'!F:L,7,0)</f>
        <v>YES</v>
      </c>
      <c r="I252" s="4" t="str">
        <f>VLOOKUP(A252,'[1]Global Roaming'!F:P,11,0)</f>
        <v>YES</v>
      </c>
      <c r="J252" s="4" t="str">
        <f>VLOOKUP(A252,'[1]Global Roaming'!F:T,15,0)</f>
        <v>N.A</v>
      </c>
    </row>
    <row r="253" spans="1:10" customFormat="1" ht="15.75" thickBot="1" x14ac:dyDescent="0.3">
      <c r="A253" s="21" t="s">
        <v>550</v>
      </c>
      <c r="B253" s="200"/>
      <c r="C253" s="93" t="s">
        <v>551</v>
      </c>
      <c r="D253" s="17">
        <v>100</v>
      </c>
      <c r="E253" s="35" t="str">
        <f>VLOOKUP(A253,'[1]Global Roaming'!F:I,3,0)</f>
        <v>414</v>
      </c>
      <c r="F253" s="35" t="str">
        <f>VLOOKUP(A253,'[1]Global Roaming'!F:I,4,0)</f>
        <v>06</v>
      </c>
      <c r="G253" s="17" t="str">
        <f>VLOOKUP(A253,'[1]Global Roaming'!F:Z,21,0)</f>
        <v>Comfone</v>
      </c>
      <c r="H253" s="17" t="str">
        <f>VLOOKUP(A253,'[1]Global Roaming'!F:L,7,0)</f>
        <v>YES</v>
      </c>
      <c r="I253" s="17" t="str">
        <f>VLOOKUP(A253,'[1]Global Roaming'!F:P,11,0)</f>
        <v>YES</v>
      </c>
      <c r="J253" s="17" t="str">
        <f>VLOOKUP(A253,'[1]Global Roaming'!F:T,15,0)</f>
        <v>YES</v>
      </c>
    </row>
    <row r="254" spans="1:10" customFormat="1" ht="15.75" thickBot="1" x14ac:dyDescent="0.3">
      <c r="A254" s="21" t="s">
        <v>552</v>
      </c>
      <c r="B254" s="198" t="s">
        <v>553</v>
      </c>
      <c r="C254" s="89" t="s">
        <v>554</v>
      </c>
      <c r="D254" s="1" t="s">
        <v>43</v>
      </c>
      <c r="E254" s="29" t="str">
        <f>VLOOKUP(A254,'[1]Global Roaming'!F:I,3,0)</f>
        <v>530</v>
      </c>
      <c r="F254" s="29" t="str">
        <f>VLOOKUP(A254,'[1]Global Roaming'!F:I,4,0)</f>
        <v>05</v>
      </c>
      <c r="G254" s="1" t="str">
        <f>VLOOKUP(A254,'[1]Global Roaming'!F:Z,21,0)</f>
        <v>Comfone</v>
      </c>
      <c r="H254" s="1" t="str">
        <f>VLOOKUP(A254,'[1]Global Roaming'!F:L,7,0)</f>
        <v>Arrêté</v>
      </c>
      <c r="I254" s="1" t="str">
        <f>VLOOKUP(A254,'[1]Global Roaming'!F:P,11,0)</f>
        <v>YES</v>
      </c>
      <c r="J254" s="1" t="str">
        <f>VLOOKUP(A254,'[1]Global Roaming'!F:T,15,0)</f>
        <v>YES</v>
      </c>
    </row>
    <row r="255" spans="1:10" customFormat="1" ht="15.75" thickBot="1" x14ac:dyDescent="0.3">
      <c r="A255" s="21" t="s">
        <v>555</v>
      </c>
      <c r="B255" s="199"/>
      <c r="C255" s="92" t="s">
        <v>556</v>
      </c>
      <c r="D255" s="2" t="s">
        <v>43</v>
      </c>
      <c r="E255" s="27" t="str">
        <f>VLOOKUP(A255,'[1]Global Roaming'!F:I,3,0)</f>
        <v>530</v>
      </c>
      <c r="F255" s="27" t="str">
        <f>VLOOKUP(A255,'[1]Global Roaming'!F:I,4,0)</f>
        <v>24</v>
      </c>
      <c r="G255" s="2" t="str">
        <f>VLOOKUP(A255,'[1]Global Roaming'!F:Z,21,0)</f>
        <v>Comfone</v>
      </c>
      <c r="H255" s="2" t="str">
        <f>VLOOKUP(A255,'[1]Global Roaming'!F:L,7,0)</f>
        <v>Arrêté</v>
      </c>
      <c r="I255" s="2" t="str">
        <f>VLOOKUP(A255,'[1]Global Roaming'!F:P,11,0)</f>
        <v>YES</v>
      </c>
      <c r="J255" s="2">
        <f>VLOOKUP(A255,'[1]Global Roaming'!F:T,15,0)</f>
        <v>0</v>
      </c>
    </row>
    <row r="256" spans="1:10" customFormat="1" ht="15.75" thickBot="1" x14ac:dyDescent="0.3">
      <c r="A256" s="21" t="s">
        <v>557</v>
      </c>
      <c r="B256" s="201"/>
      <c r="C256" s="90" t="s">
        <v>558</v>
      </c>
      <c r="D256" s="6">
        <v>100</v>
      </c>
      <c r="E256" s="33" t="str">
        <f>VLOOKUP(A256,'[1]Global Roaming'!F:I,3,0)</f>
        <v>530</v>
      </c>
      <c r="F256" s="33" t="str">
        <f>VLOOKUP(A256,'[1]Global Roaming'!F:I,4,0)</f>
        <v>01</v>
      </c>
      <c r="G256" s="6" t="str">
        <f>VLOOKUP(A256,'[1]Global Roaming'!F:Z,21,0)</f>
        <v>Orange Hub</v>
      </c>
      <c r="H256" s="6" t="str">
        <f>VLOOKUP(A256,'[1]Global Roaming'!F:L,7,0)</f>
        <v>YES</v>
      </c>
      <c r="I256" s="6" t="str">
        <f>VLOOKUP(A256,'[1]Global Roaming'!F:P,11,0)</f>
        <v>YES</v>
      </c>
      <c r="J256" s="6" t="str">
        <f>VLOOKUP(A256,'[1]Global Roaming'!F:T,15,0)</f>
        <v>YES</v>
      </c>
    </row>
    <row r="257" spans="1:10" customFormat="1" ht="15.75" thickBot="1" x14ac:dyDescent="0.3">
      <c r="A257" s="21" t="s">
        <v>559</v>
      </c>
      <c r="B257" s="198" t="s">
        <v>560</v>
      </c>
      <c r="C257" s="89" t="s">
        <v>561</v>
      </c>
      <c r="D257" s="1">
        <v>10</v>
      </c>
      <c r="E257" s="29" t="str">
        <f>VLOOKUP(A257,'[1]Global Roaming'!F:I,3,0)</f>
        <v>242</v>
      </c>
      <c r="F257" s="29" t="str">
        <f>VLOOKUP(A257,'[1]Global Roaming'!F:I,4,0)</f>
        <v>02</v>
      </c>
      <c r="G257" s="1" t="str">
        <f>VLOOKUP(A257,'[1]Global Roaming'!F:Z,21,0)</f>
        <v>Bilateral</v>
      </c>
      <c r="H257" s="1" t="str">
        <f>VLOOKUP(A257,'[1]Global Roaming'!F:L,7,0)</f>
        <v>YES</v>
      </c>
      <c r="I257" s="1" t="str">
        <f>VLOOKUP(A257,'[1]Global Roaming'!F:P,11,0)</f>
        <v>Arrêté</v>
      </c>
      <c r="J257" s="1" t="str">
        <f>VLOOKUP(A257,'[1]Global Roaming'!F:T,15,0)</f>
        <v>YES</v>
      </c>
    </row>
    <row r="258" spans="1:10" customFormat="1" ht="15.75" thickBot="1" x14ac:dyDescent="0.3">
      <c r="A258" s="21" t="s">
        <v>562</v>
      </c>
      <c r="B258" s="201"/>
      <c r="C258" s="90" t="s">
        <v>563</v>
      </c>
      <c r="D258" s="3">
        <v>90</v>
      </c>
      <c r="E258" s="30" t="str">
        <f>VLOOKUP(A258,'[1]Global Roaming'!F:I,3,0)</f>
        <v>242</v>
      </c>
      <c r="F258" s="30" t="str">
        <f>VLOOKUP(A258,'[1]Global Roaming'!F:I,4,0)</f>
        <v>01</v>
      </c>
      <c r="G258" s="3" t="str">
        <f>VLOOKUP(A258,'[1]Global Roaming'!F:Z,21,0)</f>
        <v>Bilateral</v>
      </c>
      <c r="H258" s="3" t="str">
        <f>VLOOKUP(A258,'[1]Global Roaming'!F:L,7,0)</f>
        <v>YES</v>
      </c>
      <c r="I258" s="3" t="str">
        <f>VLOOKUP(A258,'[1]Global Roaming'!F:P,11,0)</f>
        <v>Arrêté</v>
      </c>
      <c r="J258" s="3" t="str">
        <f>VLOOKUP(A258,'[1]Global Roaming'!F:T,15,0)</f>
        <v>YES</v>
      </c>
    </row>
    <row r="259" spans="1:10" customFormat="1" ht="15.75" thickBot="1" x14ac:dyDescent="0.3">
      <c r="A259" s="21" t="s">
        <v>564</v>
      </c>
      <c r="B259" s="198" t="s">
        <v>565</v>
      </c>
      <c r="C259" s="89" t="s">
        <v>566</v>
      </c>
      <c r="D259" s="1" t="s">
        <v>43</v>
      </c>
      <c r="E259" s="29" t="str">
        <f>VLOOKUP(A259,'[1]Global Roaming'!F:I,3,0)</f>
        <v>422</v>
      </c>
      <c r="F259" s="29" t="str">
        <f>VLOOKUP(A259,'[1]Global Roaming'!F:I,4,0)</f>
        <v>03</v>
      </c>
      <c r="G259" s="1" t="str">
        <f>VLOOKUP(A259,'[1]Global Roaming'!F:Z,21,0)</f>
        <v>Bilateral</v>
      </c>
      <c r="H259" s="1" t="str">
        <f>VLOOKUP(A259,'[1]Global Roaming'!F:L,7,0)</f>
        <v>YES</v>
      </c>
      <c r="I259" s="1" t="str">
        <f>VLOOKUP(A259,'[1]Global Roaming'!F:P,11,0)</f>
        <v>YES</v>
      </c>
      <c r="J259" s="1">
        <f>VLOOKUP(A259,'[1]Global Roaming'!F:T,15,0)</f>
        <v>0</v>
      </c>
    </row>
    <row r="260" spans="1:10" customFormat="1" ht="15.75" thickBot="1" x14ac:dyDescent="0.3">
      <c r="A260" s="21" t="s">
        <v>567</v>
      </c>
      <c r="B260" s="201"/>
      <c r="C260" s="90" t="s">
        <v>568</v>
      </c>
      <c r="D260" s="3">
        <v>100</v>
      </c>
      <c r="E260" s="30" t="str">
        <f>VLOOKUP(A260,'[1]Global Roaming'!F:I,3,0)</f>
        <v>422</v>
      </c>
      <c r="F260" s="30" t="str">
        <f>VLOOKUP(A260,'[1]Global Roaming'!F:I,4,0)</f>
        <v>02</v>
      </c>
      <c r="G260" s="3" t="str">
        <f>VLOOKUP(A260,'[1]Global Roaming'!F:Z,21,0)</f>
        <v>Bilateral</v>
      </c>
      <c r="H260" s="3" t="str">
        <f>VLOOKUP(A260,'[1]Global Roaming'!F:L,7,0)</f>
        <v>YES</v>
      </c>
      <c r="I260" s="3" t="str">
        <f>VLOOKUP(A260,'[1]Global Roaming'!F:P,11,0)</f>
        <v>YES</v>
      </c>
      <c r="J260" s="3" t="str">
        <f>VLOOKUP(A260,'[1]Global Roaming'!F:T,15,0)</f>
        <v>YES</v>
      </c>
    </row>
    <row r="261" spans="1:10" customFormat="1" ht="15.75" thickBot="1" x14ac:dyDescent="0.3">
      <c r="A261" s="21" t="s">
        <v>569</v>
      </c>
      <c r="B261" s="198" t="s">
        <v>570</v>
      </c>
      <c r="C261" s="89" t="s">
        <v>571</v>
      </c>
      <c r="D261" s="1" t="s">
        <v>43</v>
      </c>
      <c r="E261" s="29" t="str">
        <f>VLOOKUP(A261,'[1]Global Roaming'!F:I,3,0)</f>
        <v>714</v>
      </c>
      <c r="F261" s="29" t="str">
        <f>VLOOKUP(A261,'[1]Global Roaming'!F:I,4,0)</f>
        <v>01</v>
      </c>
      <c r="G261" s="1" t="str">
        <f>VLOOKUP(A261,'[1]Global Roaming'!F:Z,21,0)</f>
        <v>Orange Hub</v>
      </c>
      <c r="H261" s="1" t="str">
        <f>VLOOKUP(A261,'[1]Global Roaming'!F:L,7,0)</f>
        <v>YES</v>
      </c>
      <c r="I261" s="1" t="str">
        <f>VLOOKUP(A261,'[1]Global Roaming'!F:P,11,0)</f>
        <v>YES</v>
      </c>
      <c r="J261" s="1">
        <f>VLOOKUP(A261,'[1]Global Roaming'!F:T,15,0)</f>
        <v>0</v>
      </c>
    </row>
    <row r="262" spans="1:10" customFormat="1" ht="15.75" thickBot="1" x14ac:dyDescent="0.3">
      <c r="A262" s="21" t="s">
        <v>572</v>
      </c>
      <c r="B262" s="199"/>
      <c r="C262" s="92" t="s">
        <v>573</v>
      </c>
      <c r="D262" s="4" t="s">
        <v>43</v>
      </c>
      <c r="E262" s="32" t="str">
        <f>VLOOKUP(A262,'[1]Global Roaming'!F:I,3,0)</f>
        <v>714</v>
      </c>
      <c r="F262" s="32" t="str">
        <f>VLOOKUP(A262,'[1]Global Roaming'!F:I,4,0)</f>
        <v>04</v>
      </c>
      <c r="G262" s="4" t="str">
        <f>VLOOKUP(A262,'[1]Global Roaming'!F:Z,21,0)</f>
        <v>Bilateral</v>
      </c>
      <c r="H262" s="4" t="str">
        <f>VLOOKUP(A262,'[1]Global Roaming'!F:L,7,0)</f>
        <v>YES</v>
      </c>
      <c r="I262" s="4" t="str">
        <f>VLOOKUP(A262,'[1]Global Roaming'!F:P,11,0)</f>
        <v>N.A</v>
      </c>
      <c r="J262" s="4" t="str">
        <f>VLOOKUP(A262,'[1]Global Roaming'!F:T,15,0)</f>
        <v>N.A</v>
      </c>
    </row>
    <row r="263" spans="1:10" customFormat="1" ht="15.75" thickBot="1" x14ac:dyDescent="0.3">
      <c r="A263" s="21" t="s">
        <v>574</v>
      </c>
      <c r="B263" s="201"/>
      <c r="C263" s="90" t="s">
        <v>575</v>
      </c>
      <c r="D263" s="6">
        <v>100</v>
      </c>
      <c r="E263" s="33" t="str">
        <f>VLOOKUP(A263,'[1]Global Roaming'!F:I,3,0)</f>
        <v>714</v>
      </c>
      <c r="F263" s="33" t="str">
        <f>VLOOKUP(A263,'[1]Global Roaming'!F:I,4,0)</f>
        <v>020</v>
      </c>
      <c r="G263" s="6" t="str">
        <f>VLOOKUP(A263,'[1]Global Roaming'!F:Z,21,0)</f>
        <v>Bilateral</v>
      </c>
      <c r="H263" s="6" t="str">
        <f>VLOOKUP(A263,'[1]Global Roaming'!F:L,7,0)</f>
        <v>YES</v>
      </c>
      <c r="I263" s="6">
        <f>VLOOKUP(A263,'[1]Global Roaming'!F:P,11,0)</f>
        <v>0</v>
      </c>
      <c r="J263" s="6">
        <f>VLOOKUP(A263,'[1]Global Roaming'!F:T,15,0)</f>
        <v>0</v>
      </c>
    </row>
    <row r="264" spans="1:10" customFormat="1" ht="15.75" thickBot="1" x14ac:dyDescent="0.3">
      <c r="A264" s="21" t="s">
        <v>576</v>
      </c>
      <c r="B264" s="205" t="s">
        <v>577</v>
      </c>
      <c r="C264" s="118" t="s">
        <v>619</v>
      </c>
      <c r="D264" s="1">
        <v>90</v>
      </c>
      <c r="E264" s="29">
        <f>VLOOKUP(A264,'[1]Global Roaming'!F:I,3,0)</f>
        <v>220</v>
      </c>
      <c r="F264" s="29" t="str">
        <f>VLOOKUP(A264,'[1]Global Roaming'!F:I,4,0)</f>
        <v>05</v>
      </c>
      <c r="G264" s="1" t="str">
        <f>VLOOKUP(A264,'[1]Global Roaming'!F:Z,21,0)</f>
        <v>Bilateral</v>
      </c>
      <c r="H264" s="1" t="str">
        <f>VLOOKUP(A264,'[1]Global Roaming'!F:L,7,0)</f>
        <v>YES</v>
      </c>
      <c r="I264" s="1" t="str">
        <f>VLOOKUP(A264,'[1]Global Roaming'!F:P,11,0)</f>
        <v>YES</v>
      </c>
      <c r="J264" s="1" t="str">
        <f>VLOOKUP(A264,'[1]Global Roaming'!F:T,15,0)</f>
        <v>YES</v>
      </c>
    </row>
    <row r="265" spans="1:10" customFormat="1" ht="15.75" thickBot="1" x14ac:dyDescent="0.3">
      <c r="A265" s="21" t="s">
        <v>578</v>
      </c>
      <c r="B265" s="206"/>
      <c r="C265" s="119" t="s">
        <v>620</v>
      </c>
      <c r="D265" s="2">
        <v>10</v>
      </c>
      <c r="E265" s="27" t="str">
        <f>VLOOKUP(A265,'[1]Global Roaming'!F:I,3,0)</f>
        <v>220</v>
      </c>
      <c r="F265" s="27" t="str">
        <f>VLOOKUP(A265,'[1]Global Roaming'!F:I,4,0)</f>
        <v>01</v>
      </c>
      <c r="G265" s="2" t="str">
        <f>VLOOKUP(A265,'[1]Global Roaming'!F:Z,21,0)</f>
        <v>Bilateral</v>
      </c>
      <c r="H265" s="2" t="str">
        <f>VLOOKUP(A265,'[1]Global Roaming'!F:L,7,0)</f>
        <v>YES</v>
      </c>
      <c r="I265" s="2" t="str">
        <f>VLOOKUP(A265,'[1]Global Roaming'!F:P,11,0)</f>
        <v>YES</v>
      </c>
      <c r="J265" s="2" t="str">
        <f>VLOOKUP(A265,'[1]Global Roaming'!F:T,15,0)</f>
        <v>YES</v>
      </c>
    </row>
    <row r="266" spans="1:10" customFormat="1" ht="15.75" thickBot="1" x14ac:dyDescent="0.3">
      <c r="A266" s="21" t="s">
        <v>618</v>
      </c>
      <c r="B266" s="207"/>
      <c r="C266" s="120" t="s">
        <v>621</v>
      </c>
      <c r="D266" s="4" t="s">
        <v>43</v>
      </c>
      <c r="E266" s="30">
        <f>VLOOKUP(A266,'[1]Global Roaming'!F:I,3,0)</f>
        <v>220</v>
      </c>
      <c r="F266" s="30" t="str">
        <f>VLOOKUP(A266,'[1]Global Roaming'!F:I,4,0)</f>
        <v>03</v>
      </c>
      <c r="G266" s="3" t="str">
        <f>VLOOKUP(A266,'[1]Global Roaming'!F:Z,21,0)</f>
        <v>Bilateral</v>
      </c>
      <c r="H266" s="3" t="str">
        <f>VLOOKUP(A266,'[1]Global Roaming'!F:L,7,0)</f>
        <v>YES</v>
      </c>
      <c r="I266" s="3" t="str">
        <f>VLOOKUP(A266,'[1]Global Roaming'!F:P,11,0)</f>
        <v>YES</v>
      </c>
      <c r="J266" s="3" t="str">
        <f>VLOOKUP(A266,'[1]Global Roaming'!F:T,15,0)</f>
        <v>YES</v>
      </c>
    </row>
    <row r="267" spans="1:10" customFormat="1" ht="15.75" thickBot="1" x14ac:dyDescent="0.3">
      <c r="A267" s="21" t="s">
        <v>579</v>
      </c>
      <c r="B267" s="198" t="s">
        <v>580</v>
      </c>
      <c r="C267" s="89" t="s">
        <v>581</v>
      </c>
      <c r="D267" s="7">
        <v>60</v>
      </c>
      <c r="E267" s="31" t="str">
        <f>VLOOKUP(A267,'[1]Global Roaming'!F:I,3,0)</f>
        <v>293</v>
      </c>
      <c r="F267" s="31" t="str">
        <f>VLOOKUP(A267,'[1]Global Roaming'!F:I,4,0)</f>
        <v>40</v>
      </c>
      <c r="G267" s="7" t="str">
        <f>VLOOKUP(A267,'[1]Global Roaming'!F:Z,21,0)</f>
        <v>Bilateral</v>
      </c>
      <c r="H267" s="7" t="str">
        <f>VLOOKUP(A267,'[1]Global Roaming'!F:L,7,0)</f>
        <v>YES</v>
      </c>
      <c r="I267" s="7" t="str">
        <f>VLOOKUP(A267,'[1]Global Roaming'!F:P,11,0)</f>
        <v>Arrêté</v>
      </c>
      <c r="J267" s="7" t="str">
        <f>VLOOKUP(A267,'[1]Global Roaming'!F:T,15,0)</f>
        <v>YES</v>
      </c>
    </row>
    <row r="268" spans="1:10" customFormat="1" ht="15.75" thickBot="1" x14ac:dyDescent="0.3">
      <c r="A268" s="21" t="s">
        <v>582</v>
      </c>
      <c r="B268" s="199"/>
      <c r="C268" s="92" t="s">
        <v>583</v>
      </c>
      <c r="D268" s="4">
        <v>40</v>
      </c>
      <c r="E268" s="32" t="str">
        <f>VLOOKUP(A268,'[1]Global Roaming'!F:I,3,0)</f>
        <v>293</v>
      </c>
      <c r="F268" s="32" t="str">
        <f>VLOOKUP(A268,'[1]Global Roaming'!F:I,4,0)</f>
        <v>41</v>
      </c>
      <c r="G268" s="4" t="str">
        <f>VLOOKUP(A268,'[1]Global Roaming'!F:Z,21,0)</f>
        <v>Comfone</v>
      </c>
      <c r="H268" s="4" t="str">
        <f>VLOOKUP(A268,'[1]Global Roaming'!F:L,7,0)</f>
        <v>YES</v>
      </c>
      <c r="I268" s="4" t="str">
        <f>VLOOKUP(A268,'[1]Global Roaming'!F:P,11,0)</f>
        <v>Arrêté</v>
      </c>
      <c r="J268" s="4" t="str">
        <f>VLOOKUP(A268,'[1]Global Roaming'!F:T,15,0)</f>
        <v>YES</v>
      </c>
    </row>
    <row r="269" spans="1:10" customFormat="1" ht="15.75" thickBot="1" x14ac:dyDescent="0.3">
      <c r="A269" s="21" t="s">
        <v>584</v>
      </c>
      <c r="B269" s="201"/>
      <c r="C269" s="90" t="s">
        <v>585</v>
      </c>
      <c r="D269" s="6" t="s">
        <v>43</v>
      </c>
      <c r="E269" s="33" t="str">
        <f>VLOOKUP(A269,'[1]Global Roaming'!F:I,3,0)</f>
        <v>293</v>
      </c>
      <c r="F269" s="33" t="str">
        <f>VLOOKUP(A269,'[1]Global Roaming'!F:I,4,0)</f>
        <v>70</v>
      </c>
      <c r="G269" s="6" t="str">
        <f>VLOOKUP(A269,'[1]Global Roaming'!F:Z,21,0)</f>
        <v>Bilateral</v>
      </c>
      <c r="H269" s="6" t="str">
        <f>VLOOKUP(A269,'[1]Global Roaming'!F:L,7,0)</f>
        <v>YES</v>
      </c>
      <c r="I269" s="6" t="str">
        <f>VLOOKUP(A269,'[1]Global Roaming'!F:P,11,0)</f>
        <v>YES</v>
      </c>
      <c r="J269" s="6" t="str">
        <f>VLOOKUP(A269,'[1]Global Roaming'!F:T,15,0)</f>
        <v>YES</v>
      </c>
    </row>
    <row r="270" spans="1:10" customFormat="1" ht="15.75" thickBot="1" x14ac:dyDescent="0.3">
      <c r="A270" s="21" t="s">
        <v>586</v>
      </c>
      <c r="B270" s="198" t="s">
        <v>587</v>
      </c>
      <c r="C270" s="89" t="s">
        <v>588</v>
      </c>
      <c r="D270" s="7" t="s">
        <v>43</v>
      </c>
      <c r="E270" s="31" t="str">
        <f>VLOOKUP(A270,'[1]Global Roaming'!F:I,3,0)</f>
        <v>655</v>
      </c>
      <c r="F270" s="31" t="str">
        <f>VLOOKUP(A270,'[1]Global Roaming'!F:I,4,0)</f>
        <v>07</v>
      </c>
      <c r="G270" s="7" t="str">
        <f>VLOOKUP(A270,'[1]Global Roaming'!F:Z,21,0)</f>
        <v>Bilateral</v>
      </c>
      <c r="H270" s="7" t="str">
        <f>VLOOKUP(A270,'[1]Global Roaming'!F:L,7,0)</f>
        <v>YES</v>
      </c>
      <c r="I270" s="7" t="str">
        <f>VLOOKUP(A270,'[1]Global Roaming'!F:P,11,0)</f>
        <v>YES</v>
      </c>
      <c r="J270" s="7">
        <f>VLOOKUP(A270,'[1]Global Roaming'!F:T,15,0)</f>
        <v>0</v>
      </c>
    </row>
    <row r="271" spans="1:10" customFormat="1" ht="15.75" thickBot="1" x14ac:dyDescent="0.3">
      <c r="A271" s="21" t="s">
        <v>589</v>
      </c>
      <c r="B271" s="199"/>
      <c r="C271" s="92" t="s">
        <v>590</v>
      </c>
      <c r="D271" s="4" t="s">
        <v>10</v>
      </c>
      <c r="E271" s="32" t="str">
        <f>VLOOKUP(A271,'[1]Global Roaming'!F:I,3,0)</f>
        <v>655</v>
      </c>
      <c r="F271" s="32" t="str">
        <f>VLOOKUP(A271,'[1]Global Roaming'!F:I,4,0)</f>
        <v>02</v>
      </c>
      <c r="G271" s="4" t="str">
        <f>VLOOKUP(A271,'[1]Global Roaming'!F:Z,21,0)</f>
        <v>Comfone</v>
      </c>
      <c r="H271" s="4" t="str">
        <f>VLOOKUP(A271,'[1]Global Roaming'!F:L,7,0)</f>
        <v>YES</v>
      </c>
      <c r="I271" s="4" t="str">
        <f>VLOOKUP(A271,'[1]Global Roaming'!F:P,11,0)</f>
        <v>YES</v>
      </c>
      <c r="J271" s="4" t="str">
        <f>VLOOKUP(A271,'[1]Global Roaming'!F:T,15,0)</f>
        <v>YES</v>
      </c>
    </row>
    <row r="272" spans="1:10" customFormat="1" ht="15.75" thickBot="1" x14ac:dyDescent="0.3">
      <c r="A272" s="21" t="s">
        <v>591</v>
      </c>
      <c r="B272" s="199"/>
      <c r="C272" s="92" t="s">
        <v>243</v>
      </c>
      <c r="D272" s="4">
        <v>10</v>
      </c>
      <c r="E272" s="32" t="str">
        <f>VLOOKUP(A272,'[1]Global Roaming'!F:I,3,0)</f>
        <v>655</v>
      </c>
      <c r="F272" s="32" t="str">
        <f>VLOOKUP(A272,'[1]Global Roaming'!F:I,4,0)</f>
        <v>10</v>
      </c>
      <c r="G272" s="4" t="str">
        <f>VLOOKUP(A272,'[1]Global Roaming'!F:Z,21,0)</f>
        <v>Orange Hub</v>
      </c>
      <c r="H272" s="4" t="str">
        <f>VLOOKUP(A272,'[1]Global Roaming'!F:L,7,0)</f>
        <v>YES</v>
      </c>
      <c r="I272" s="4" t="str">
        <f>VLOOKUP(A272,'[1]Global Roaming'!F:P,11,0)</f>
        <v>YES</v>
      </c>
      <c r="J272" s="4" t="str">
        <f>VLOOKUP(A272,'[1]Global Roaming'!F:T,15,0)</f>
        <v>N.A</v>
      </c>
    </row>
    <row r="273" spans="1:10" customFormat="1" ht="15.75" thickBot="1" x14ac:dyDescent="0.3">
      <c r="A273" s="21" t="s">
        <v>592</v>
      </c>
      <c r="B273" s="201"/>
      <c r="C273" s="90" t="s">
        <v>593</v>
      </c>
      <c r="D273" s="6">
        <v>90</v>
      </c>
      <c r="E273" s="33" t="str">
        <f>VLOOKUP(A273,'[1]Global Roaming'!F:I,3,0)</f>
        <v>655</v>
      </c>
      <c r="F273" s="33" t="str">
        <f>VLOOKUP(A273,'[1]Global Roaming'!F:I,4,0)</f>
        <v>01</v>
      </c>
      <c r="G273" s="6" t="str">
        <f>VLOOKUP(A273,'[1]Global Roaming'!F:Z,21,0)</f>
        <v>Orange Hub</v>
      </c>
      <c r="H273" s="6" t="str">
        <f>VLOOKUP(A273,'[1]Global Roaming'!F:L,7,0)</f>
        <v>YES</v>
      </c>
      <c r="I273" s="6" t="str">
        <f>VLOOKUP(A273,'[1]Global Roaming'!F:P,11,0)</f>
        <v>YES</v>
      </c>
      <c r="J273" s="6" t="str">
        <f>VLOOKUP(A273,'[1]Global Roaming'!F:T,15,0)</f>
        <v>YES</v>
      </c>
    </row>
    <row r="274" spans="1:10" customFormat="1" ht="15.75" thickBot="1" x14ac:dyDescent="0.3">
      <c r="A274" s="21" t="s">
        <v>594</v>
      </c>
      <c r="B274" s="198" t="s">
        <v>595</v>
      </c>
      <c r="C274" s="89" t="s">
        <v>596</v>
      </c>
      <c r="D274" s="7" t="s">
        <v>43</v>
      </c>
      <c r="E274" s="31" t="str">
        <f>VLOOKUP(A274,'[1]Global Roaming'!F:I,3,0)</f>
        <v>413</v>
      </c>
      <c r="F274" s="31" t="str">
        <f>VLOOKUP(A274,'[1]Global Roaming'!F:I,4,0)</f>
        <v>02</v>
      </c>
      <c r="G274" s="7" t="str">
        <f>VLOOKUP(A274,'[1]Global Roaming'!F:Z,21,0)</f>
        <v>Bilateral</v>
      </c>
      <c r="H274" s="7" t="str">
        <f>VLOOKUP(A274,'[1]Global Roaming'!F:L,7,0)</f>
        <v>YES</v>
      </c>
      <c r="I274" s="7" t="str">
        <f>VLOOKUP(A274,'[1]Global Roaming'!F:P,11,0)</f>
        <v>YES</v>
      </c>
      <c r="J274" s="7" t="str">
        <f>VLOOKUP(A274,'[1]Global Roaming'!F:T,15,0)</f>
        <v>YES</v>
      </c>
    </row>
    <row r="275" spans="1:10" customFormat="1" ht="15.75" thickBot="1" x14ac:dyDescent="0.3">
      <c r="A275" s="21" t="s">
        <v>597</v>
      </c>
      <c r="B275" s="199"/>
      <c r="C275" s="92" t="s">
        <v>598</v>
      </c>
      <c r="D275" s="4">
        <v>100</v>
      </c>
      <c r="E275" s="32" t="str">
        <f>VLOOKUP(A275,'[1]Global Roaming'!F:I,3,0)</f>
        <v>413</v>
      </c>
      <c r="F275" s="32" t="str">
        <f>VLOOKUP(A275,'[1]Global Roaming'!F:I,4,0)</f>
        <v>08</v>
      </c>
      <c r="G275" s="4" t="str">
        <f>VLOOKUP(A275,'[1]Global Roaming'!F:Z,21,0)</f>
        <v>Comfone</v>
      </c>
      <c r="H275" s="4" t="str">
        <f>VLOOKUP(A275,'[1]Global Roaming'!F:L,7,0)</f>
        <v>YES</v>
      </c>
      <c r="I275" s="4" t="str">
        <f>VLOOKUP(A275,'[1]Global Roaming'!F:P,11,0)</f>
        <v>YES</v>
      </c>
      <c r="J275" s="4" t="str">
        <f>VLOOKUP(A275,'[1]Global Roaming'!F:T,15,0)</f>
        <v>YES</v>
      </c>
    </row>
    <row r="276" spans="1:10" customFormat="1" ht="15.75" thickBot="1" x14ac:dyDescent="0.3">
      <c r="A276" s="40" t="s">
        <v>599</v>
      </c>
      <c r="B276" s="200"/>
      <c r="C276" s="93" t="s">
        <v>600</v>
      </c>
      <c r="D276" s="17" t="s">
        <v>43</v>
      </c>
      <c r="E276" s="35" t="str">
        <f>VLOOKUP(A276,'[1]Global Roaming'!F:I,3,0)</f>
        <v>413</v>
      </c>
      <c r="F276" s="35" t="str">
        <f>VLOOKUP(A276,'[1]Global Roaming'!F:I,4,0)</f>
        <v>01</v>
      </c>
      <c r="G276" s="17" t="str">
        <f>VLOOKUP(A276,'[1]Global Roaming'!F:Z,21,0)</f>
        <v>Comfone</v>
      </c>
      <c r="H276" s="17" t="str">
        <f>VLOOKUP(A276,'[1]Global Roaming'!F:L,7,0)</f>
        <v>YES</v>
      </c>
      <c r="I276" s="17" t="str">
        <f>VLOOKUP(A276,'[1]Global Roaming'!F:P,11,0)</f>
        <v>YES</v>
      </c>
      <c r="J276" s="17" t="str">
        <f>VLOOKUP(A276,'[1]Global Roaming'!F:T,15,0)</f>
        <v>YES</v>
      </c>
    </row>
    <row r="277" spans="1:10" customFormat="1" x14ac:dyDescent="0.25">
      <c r="A277" s="21" t="s">
        <v>601</v>
      </c>
      <c r="B277" s="198" t="s">
        <v>602</v>
      </c>
      <c r="C277" s="89" t="s">
        <v>603</v>
      </c>
      <c r="D277" s="44">
        <v>90</v>
      </c>
      <c r="E277" s="43" t="str">
        <f>VLOOKUP(A277,'[1]Global Roaming'!F:I,3,0)</f>
        <v>240</v>
      </c>
      <c r="F277" s="43" t="str">
        <f>VLOOKUP(A277,'[1]Global Roaming'!F:I,4,0)</f>
        <v>02</v>
      </c>
      <c r="G277" s="44" t="str">
        <f>VLOOKUP(A277,'[1]Global Roaming'!F:Z,21,0)</f>
        <v>Bilateral</v>
      </c>
      <c r="H277" s="44" t="str">
        <f>VLOOKUP(A277,'[1]Global Roaming'!F:L,7,0)</f>
        <v>YES</v>
      </c>
      <c r="I277" s="44" t="str">
        <f>VLOOKUP(A277,'[1]Global Roaming'!F:P,11,0)</f>
        <v>YES</v>
      </c>
      <c r="J277" s="1" t="str">
        <f>VLOOKUP(A277,'[1]Global Roaming'!F:T,15,0)</f>
        <v>YES</v>
      </c>
    </row>
    <row r="278" spans="1:10" customFormat="1" x14ac:dyDescent="0.25">
      <c r="A278" s="49" t="s">
        <v>604</v>
      </c>
      <c r="B278" s="199"/>
      <c r="C278" s="92" t="s">
        <v>605</v>
      </c>
      <c r="D278" s="42">
        <v>10</v>
      </c>
      <c r="E278" s="41" t="str">
        <f>VLOOKUP(A278,'[1]Global Roaming'!F:I,3,0)</f>
        <v>240</v>
      </c>
      <c r="F278" s="41" t="str">
        <f>VLOOKUP(A278,'[1]Global Roaming'!F:I,4,0)</f>
        <v>07</v>
      </c>
      <c r="G278" s="42" t="str">
        <f>VLOOKUP(A278,'[1]Global Roaming'!F:Z,21,0)</f>
        <v>Bilateral</v>
      </c>
      <c r="H278" s="42" t="str">
        <f>VLOOKUP(A278,'[1]Global Roaming'!F:L,7,0)</f>
        <v>YES</v>
      </c>
      <c r="I278" s="42" t="str">
        <f>VLOOKUP(A278,'[1]Global Roaming'!F:P,11,0)</f>
        <v>YES</v>
      </c>
      <c r="J278" s="2" t="str">
        <f>VLOOKUP(A278,'[1]Global Roaming'!F:T,15,0)</f>
        <v>YES</v>
      </c>
    </row>
    <row r="279" spans="1:10" customFormat="1" x14ac:dyDescent="0.25">
      <c r="A279" s="49" t="s">
        <v>635</v>
      </c>
      <c r="B279" s="199"/>
      <c r="C279" s="92" t="s">
        <v>605</v>
      </c>
      <c r="D279" s="42">
        <v>10</v>
      </c>
      <c r="E279" s="41" t="str">
        <f>VLOOKUP(A279,'[1]Global Roaming'!F:I,3,0)</f>
        <v>240</v>
      </c>
      <c r="F279" s="41" t="str">
        <f>VLOOKUP(A279,'[1]Global Roaming'!F:I,4,0)</f>
        <v>10</v>
      </c>
      <c r="G279" s="42" t="str">
        <f>VLOOKUP(A279,'[1]Global Roaming'!F:Z,21,0)</f>
        <v>Bilateral</v>
      </c>
      <c r="H279" s="42">
        <f>VLOOKUP(A279,'[1]Global Roaming'!F:L,7,0)</f>
        <v>0</v>
      </c>
      <c r="I279" s="42">
        <f>VLOOKUP(A279,'[1]Global Roaming'!F:P,11,0)</f>
        <v>0</v>
      </c>
      <c r="J279" s="2">
        <f>VLOOKUP(A279,'[1]Global Roaming'!F:T,15,0)</f>
        <v>0</v>
      </c>
    </row>
    <row r="280" spans="1:10" customFormat="1" x14ac:dyDescent="0.25">
      <c r="A280" s="49" t="s">
        <v>633</v>
      </c>
      <c r="B280" s="199"/>
      <c r="C280" s="92" t="s">
        <v>607</v>
      </c>
      <c r="D280" s="42" t="s">
        <v>10</v>
      </c>
      <c r="E280" s="41" t="str">
        <f>VLOOKUP(A280,'[1]Global Roaming'!F:I,3,0)</f>
        <v>240</v>
      </c>
      <c r="F280" s="41" t="str">
        <f>VLOOKUP(A280,'[1]Global Roaming'!F:I,4,0)</f>
        <v>06</v>
      </c>
      <c r="G280" s="42" t="str">
        <f>VLOOKUP(A280,'[1]Global Roaming'!F:Z,21,0)</f>
        <v>Bilateral</v>
      </c>
      <c r="H280" s="42" t="str">
        <f>VLOOKUP(A280,'[1]Global Roaming'!F:L,7,0)</f>
        <v>N.A</v>
      </c>
      <c r="I280" s="42" t="str">
        <f>VLOOKUP(A280,'[1]Global Roaming'!F:P,11,0)</f>
        <v>N.A</v>
      </c>
      <c r="J280" s="2" t="str">
        <f>VLOOKUP(A280,'[1]Global Roaming'!F:T,15,0)</f>
        <v>N.A</v>
      </c>
    </row>
    <row r="281" spans="1:10" customFormat="1" x14ac:dyDescent="0.25">
      <c r="A281" s="49" t="s">
        <v>606</v>
      </c>
      <c r="B281" s="199"/>
      <c r="C281" s="92" t="s">
        <v>607</v>
      </c>
      <c r="D281" s="42" t="s">
        <v>10</v>
      </c>
      <c r="E281" s="41" t="str">
        <f>VLOOKUP(A281,'[1]Global Roaming'!F:I,3,0)</f>
        <v>240</v>
      </c>
      <c r="F281" s="41" t="str">
        <f>VLOOKUP(A281,'[1]Global Roaming'!F:I,4,0)</f>
        <v>08</v>
      </c>
      <c r="G281" s="42" t="str">
        <f>VLOOKUP(A281,'[1]Global Roaming'!F:Z,21,0)</f>
        <v>Bilateral</v>
      </c>
      <c r="H281" s="42" t="str">
        <f>VLOOKUP(A281,'[1]Global Roaming'!F:L,7,0)</f>
        <v>YES</v>
      </c>
      <c r="I281" s="42" t="str">
        <f>VLOOKUP(A281,'[1]Global Roaming'!F:P,11,0)</f>
        <v>YES</v>
      </c>
      <c r="J281" s="2" t="str">
        <f>VLOOKUP(A281,'[1]Global Roaming'!F:T,15,0)</f>
        <v>YES</v>
      </c>
    </row>
    <row r="282" spans="1:10" customFormat="1" x14ac:dyDescent="0.25">
      <c r="A282" s="49" t="s">
        <v>634</v>
      </c>
      <c r="B282" s="199"/>
      <c r="C282" s="92" t="s">
        <v>607</v>
      </c>
      <c r="D282" s="42" t="s">
        <v>10</v>
      </c>
      <c r="E282" s="41" t="str">
        <f>VLOOKUP(A282,'[1]Global Roaming'!F:I,3,0)</f>
        <v>240</v>
      </c>
      <c r="F282" s="41" t="str">
        <f>VLOOKUP(A282,'[1]Global Roaming'!F:I,4,0)</f>
        <v>42</v>
      </c>
      <c r="G282" s="42" t="str">
        <f>VLOOKUP(A282,'[1]Global Roaming'!F:Z,21,0)</f>
        <v>Bilateral</v>
      </c>
      <c r="H282" s="42" t="str">
        <f>VLOOKUP(A282,'[1]Global Roaming'!F:L,7,0)</f>
        <v>N.A</v>
      </c>
      <c r="I282" s="42" t="str">
        <f>VLOOKUP(A282,'[1]Global Roaming'!F:P,11,0)</f>
        <v>N.A</v>
      </c>
      <c r="J282" s="2" t="str">
        <f>VLOOKUP(A282,'[1]Global Roaming'!F:T,15,0)</f>
        <v>N.A</v>
      </c>
    </row>
    <row r="283" spans="1:10" customFormat="1" ht="15.75" thickBot="1" x14ac:dyDescent="0.3">
      <c r="A283" s="71" t="s">
        <v>608</v>
      </c>
      <c r="B283" s="200"/>
      <c r="C283" s="93" t="s">
        <v>609</v>
      </c>
      <c r="D283" s="72">
        <v>0</v>
      </c>
      <c r="E283" s="73" t="str">
        <f>VLOOKUP(A283,'[1]Global Roaming'!F:I,3,0)</f>
        <v>240</v>
      </c>
      <c r="F283" s="73" t="str">
        <f>VLOOKUP(A283,'[1]Global Roaming'!F:I,4,0)</f>
        <v>01</v>
      </c>
      <c r="G283" s="72" t="str">
        <f>VLOOKUP(A283,'[1]Global Roaming'!F:Z,21,0)</f>
        <v>Bilateral</v>
      </c>
      <c r="H283" s="72" t="str">
        <f>VLOOKUP(A283,'[1]Global Roaming'!F:L,7,0)</f>
        <v>YES</v>
      </c>
      <c r="I283" s="72" t="str">
        <f>VLOOKUP(A283,'[1]Global Roaming'!F:P,11,0)</f>
        <v>YES</v>
      </c>
      <c r="J283" s="5" t="str">
        <f>VLOOKUP(A283,'[1]Global Roaming'!F:T,15,0)</f>
        <v>YES</v>
      </c>
    </row>
    <row r="284" spans="1:10" customFormat="1" x14ac:dyDescent="0.25">
      <c r="A284" s="21" t="s">
        <v>610</v>
      </c>
      <c r="B284" s="198" t="s">
        <v>611</v>
      </c>
      <c r="C284" s="89" t="s">
        <v>612</v>
      </c>
      <c r="D284" s="44" t="s">
        <v>10</v>
      </c>
      <c r="E284" s="43" t="str">
        <f>VLOOKUP(A284,'[1]Global Roaming'!F:I,3,0)</f>
        <v>640</v>
      </c>
      <c r="F284" s="43" t="str">
        <f>VLOOKUP(A284,'[1]Global Roaming'!F:I,4,0)</f>
        <v>02</v>
      </c>
      <c r="G284" s="44" t="str">
        <f>VLOOKUP(A284,'[1]Global Roaming'!F:Z,21,0)</f>
        <v>Comfone</v>
      </c>
      <c r="H284" s="44" t="str">
        <f>VLOOKUP(A284,'[1]Global Roaming'!F:L,7,0)</f>
        <v>YES</v>
      </c>
      <c r="I284" s="44" t="str">
        <f>VLOOKUP(A284,'[1]Global Roaming'!F:P,11,0)</f>
        <v>YES</v>
      </c>
      <c r="J284" s="1">
        <f>VLOOKUP(A284,'[1]Global Roaming'!F:T,15,0)</f>
        <v>0</v>
      </c>
    </row>
    <row r="285" spans="1:10" customFormat="1" x14ac:dyDescent="0.25">
      <c r="A285" s="49" t="s">
        <v>613</v>
      </c>
      <c r="B285" s="199"/>
      <c r="C285" s="92" t="s">
        <v>614</v>
      </c>
      <c r="D285" s="132">
        <v>100</v>
      </c>
      <c r="E285" s="77" t="str">
        <f>VLOOKUP(A285,'[1]Global Roaming'!F:I,3,0)</f>
        <v>640</v>
      </c>
      <c r="F285" s="77" t="str">
        <f>VLOOKUP(A285,'[1]Global Roaming'!F:I,4,0)</f>
        <v>04</v>
      </c>
      <c r="G285" s="132" t="str">
        <f>VLOOKUP(A285,'[1]Global Roaming'!F:Z,21,0)</f>
        <v>Orange Hub</v>
      </c>
      <c r="H285" s="132" t="str">
        <f>VLOOKUP(A285,'[1]Global Roaming'!F:L,7,0)</f>
        <v>YES</v>
      </c>
      <c r="I285" s="132" t="str">
        <f>VLOOKUP(A285,'[1]Global Roaming'!F:P,11,0)</f>
        <v>YES</v>
      </c>
      <c r="J285" s="4" t="str">
        <f>VLOOKUP(A285,'[1]Global Roaming'!F:T,15,0)</f>
        <v>YES</v>
      </c>
    </row>
    <row r="286" spans="1:10" customFormat="1" x14ac:dyDescent="0.25">
      <c r="A286" s="49" t="s">
        <v>622</v>
      </c>
      <c r="B286" s="199"/>
      <c r="C286" s="107" t="s">
        <v>623</v>
      </c>
      <c r="D286" s="42" t="s">
        <v>43</v>
      </c>
      <c r="E286" s="41" t="str">
        <f>VLOOKUP(A286,'[1]Global Roaming'!F:I,3,0)</f>
        <v>640</v>
      </c>
      <c r="F286" s="41" t="str">
        <f>VLOOKUP(A286,'[1]Global Roaming'!F:I,4,0)</f>
        <v>09</v>
      </c>
      <c r="G286" s="42" t="str">
        <f>VLOOKUP(A286,'[1]Global Roaming'!F:Z,21,0)</f>
        <v>Comfone</v>
      </c>
      <c r="H286" s="42" t="str">
        <f>VLOOKUP(A286,'[1]Global Roaming'!F:L,7,0)</f>
        <v>YES</v>
      </c>
      <c r="I286" s="42" t="str">
        <f>VLOOKUP(A286,'[1]Global Roaming'!F:P,11,0)</f>
        <v>YES</v>
      </c>
      <c r="J286" s="2">
        <f>VLOOKUP(A286,'[1]Global Roaming'!F:T,15,0)</f>
        <v>0</v>
      </c>
    </row>
    <row r="287" spans="1:10" customFormat="1" ht="15.75" thickBot="1" x14ac:dyDescent="0.3">
      <c r="A287" s="50" t="s">
        <v>615</v>
      </c>
      <c r="B287" s="201"/>
      <c r="C287" s="90" t="s">
        <v>616</v>
      </c>
      <c r="D287" s="67" t="s">
        <v>10</v>
      </c>
      <c r="E287" s="68" t="str">
        <f>VLOOKUP(A287,'[1]Global Roaming'!F:I,3,0)</f>
        <v>640</v>
      </c>
      <c r="F287" s="68" t="str">
        <f>VLOOKUP(A287,'[1]Global Roaming'!F:I,4,0)</f>
        <v>03</v>
      </c>
      <c r="G287" s="67" t="str">
        <f>VLOOKUP(A287,'[1]Global Roaming'!F:Z,21,0)</f>
        <v>Orange Hub</v>
      </c>
      <c r="H287" s="67" t="str">
        <f>VLOOKUP(A287,'[1]Global Roaming'!F:L,7,0)</f>
        <v>YES</v>
      </c>
      <c r="I287" s="67" t="str">
        <f>VLOOKUP(A287,'[1]Global Roaming'!F:P,11,0)</f>
        <v>YES</v>
      </c>
      <c r="J287" s="3">
        <f>VLOOKUP(A287,'[1]Global Roaming'!F:T,15,0)</f>
        <v>0</v>
      </c>
    </row>
    <row r="288" spans="1:10" customFormat="1" ht="15.75" thickBot="1" x14ac:dyDescent="0.3">
      <c r="A288" s="38" t="s">
        <v>624</v>
      </c>
      <c r="B288" s="202" t="s">
        <v>630</v>
      </c>
      <c r="C288" s="108" t="s">
        <v>627</v>
      </c>
      <c r="D288" s="18" t="s">
        <v>43</v>
      </c>
      <c r="E288" s="36" t="str">
        <f>VLOOKUP(A288,'[1]Global Roaming'!F:I,3,0)</f>
        <v>716</v>
      </c>
      <c r="F288" s="36" t="str">
        <f>VLOOKUP(A288,'[1]Global Roaming'!F:I,4,0)</f>
        <v>17</v>
      </c>
      <c r="G288" s="18" t="str">
        <f>VLOOKUP(A288,'[1]Global Roaming'!F:Z,21,0)</f>
        <v>Comfone</v>
      </c>
      <c r="H288" s="18" t="str">
        <f>VLOOKUP(A288,'[1]Global Roaming'!F:L,7,0)</f>
        <v>YES</v>
      </c>
      <c r="I288" s="18" t="str">
        <f>VLOOKUP(A288,'[1]Global Roaming'!F:P,11,0)</f>
        <v>YES</v>
      </c>
      <c r="J288" s="18" t="str">
        <f>VLOOKUP(A288,'[1]Global Roaming'!F:T,15,0)</f>
        <v>YES</v>
      </c>
    </row>
    <row r="289" spans="1:10" customFormat="1" ht="15.75" thickBot="1" x14ac:dyDescent="0.3">
      <c r="A289" s="21" t="s">
        <v>625</v>
      </c>
      <c r="B289" s="203"/>
      <c r="C289" s="109" t="s">
        <v>628</v>
      </c>
      <c r="D289" s="5" t="s">
        <v>43</v>
      </c>
      <c r="E289" s="28" t="str">
        <f>VLOOKUP(A289,'[1]Global Roaming'!F:I,3,0)</f>
        <v>716</v>
      </c>
      <c r="F289" s="28" t="str">
        <f>VLOOKUP(A289,'[1]Global Roaming'!F:I,4,0)</f>
        <v>15</v>
      </c>
      <c r="G289" s="5" t="str">
        <f>VLOOKUP(A289,'[1]Global Roaming'!F:Z,21,0)</f>
        <v>Comfone</v>
      </c>
      <c r="H289" s="5" t="str">
        <f>VLOOKUP(A289,'[1]Global Roaming'!F:L,7,0)</f>
        <v>YES</v>
      </c>
      <c r="I289" s="5" t="str">
        <f>VLOOKUP(A289,'[1]Global Roaming'!F:P,11,0)</f>
        <v>YES</v>
      </c>
      <c r="J289" s="5">
        <f>VLOOKUP(A289,'[1]Global Roaming'!F:T,15,0)</f>
        <v>0</v>
      </c>
    </row>
    <row r="290" spans="1:10" customFormat="1" ht="15.75" thickBot="1" x14ac:dyDescent="0.3">
      <c r="A290" s="40" t="s">
        <v>626</v>
      </c>
      <c r="B290" s="204"/>
      <c r="C290" s="123" t="s">
        <v>629</v>
      </c>
      <c r="D290" s="130">
        <v>100</v>
      </c>
      <c r="E290" s="125">
        <f>VLOOKUP(A290,'[1]Global Roaming'!F:I,3,0)</f>
        <v>716</v>
      </c>
      <c r="F290" s="125" t="str">
        <f>VLOOKUP(A290,'[1]Global Roaming'!F:I,4,0)</f>
        <v>06</v>
      </c>
      <c r="G290" s="124" t="str">
        <f>VLOOKUP(A290,'[1]Global Roaming'!F:Z,21,0)</f>
        <v>Bilateral</v>
      </c>
      <c r="H290" s="124" t="str">
        <f>VLOOKUP(A290,'[1]Global Roaming'!F:L,7,0)</f>
        <v>YES</v>
      </c>
      <c r="I290" s="124" t="str">
        <f>VLOOKUP(A290,'[1]Global Roaming'!F:P,11,0)</f>
        <v>YES</v>
      </c>
      <c r="J290" s="124">
        <f>VLOOKUP(A290,'[1]Global Roaming'!F:T,15,0)</f>
        <v>0</v>
      </c>
    </row>
    <row r="291" spans="1:10" x14ac:dyDescent="0.25">
      <c r="A291" s="139" t="s">
        <v>672</v>
      </c>
      <c r="B291" s="192" t="s">
        <v>675</v>
      </c>
      <c r="C291" s="133" t="s">
        <v>674</v>
      </c>
      <c r="D291" s="44" t="s">
        <v>43</v>
      </c>
      <c r="E291" s="147" t="str">
        <f>VLOOKUP(A291,'[1]Global Roaming'!F:I,3,0)</f>
        <v>364</v>
      </c>
      <c r="F291" s="147" t="str">
        <f>VLOOKUP(A291,'[1]Global Roaming'!F:I,4,0)</f>
        <v>49</v>
      </c>
      <c r="G291" s="148" t="str">
        <f>VLOOKUP(A291,'[1]Global Roaming'!F:Z,21,0)</f>
        <v>Comfone</v>
      </c>
      <c r="H291" s="148" t="str">
        <f>VLOOKUP(A291,'[1]Global Roaming'!F:L,7,0)</f>
        <v>YES</v>
      </c>
      <c r="I291" s="148" t="str">
        <f>VLOOKUP(A291,'[1]Global Roaming'!F:P,11,0)</f>
        <v>YES</v>
      </c>
      <c r="J291" s="149" t="str">
        <f>VLOOKUP(A291,'[1]Global Roaming'!F:T,15,0)</f>
        <v>YES</v>
      </c>
    </row>
    <row r="292" spans="1:10" ht="15.75" thickBot="1" x14ac:dyDescent="0.3">
      <c r="A292" s="140" t="s">
        <v>673</v>
      </c>
      <c r="B292" s="193"/>
      <c r="C292" s="134" t="s">
        <v>676</v>
      </c>
      <c r="D292" s="72">
        <v>100</v>
      </c>
      <c r="E292" s="150" t="str">
        <f>VLOOKUP(A292,'[1]Global Roaming'!F:I,3,0)</f>
        <v>364</v>
      </c>
      <c r="F292" s="150" t="str">
        <f>VLOOKUP(A292,'[1]Global Roaming'!F:I,4,0)</f>
        <v>39</v>
      </c>
      <c r="G292" s="151" t="str">
        <f>VLOOKUP(A292,'[1]Global Roaming'!F:Z,21,0)</f>
        <v>Orange Hub</v>
      </c>
      <c r="H292" s="151" t="str">
        <f>VLOOKUP(A292,'[1]Global Roaming'!F:L,7,0)</f>
        <v>YES</v>
      </c>
      <c r="I292" s="151" t="str">
        <f>VLOOKUP(A292,'[1]Global Roaming'!F:P,11,0)</f>
        <v>YES</v>
      </c>
      <c r="J292" s="124">
        <f>VLOOKUP(A292,'[1]Global Roaming'!F:T,15,0)</f>
        <v>0</v>
      </c>
    </row>
    <row r="293" spans="1:10" x14ac:dyDescent="0.25">
      <c r="A293" s="139" t="s">
        <v>677</v>
      </c>
      <c r="B293" s="192" t="s">
        <v>661</v>
      </c>
      <c r="C293" s="133" t="s">
        <v>679</v>
      </c>
      <c r="D293" s="44" t="s">
        <v>43</v>
      </c>
      <c r="E293" s="147" t="str">
        <f>VLOOKUP(A293,'[1]Global Roaming'!F:I,3,0)</f>
        <v>470</v>
      </c>
      <c r="F293" s="147" t="str">
        <f>VLOOKUP(A293,'[1]Global Roaming'!F:I,4,0)</f>
        <v>02</v>
      </c>
      <c r="G293" s="148" t="str">
        <f>VLOOKUP(A293,'[1]Global Roaming'!F:Z,21,0)</f>
        <v>Comfone</v>
      </c>
      <c r="H293" s="148" t="str">
        <f>VLOOKUP(A293,'[1]Global Roaming'!F:L,7,0)</f>
        <v>YES</v>
      </c>
      <c r="I293" s="148" t="str">
        <f>VLOOKUP(A293,'[1]Global Roaming'!F:P,11,0)</f>
        <v>YES</v>
      </c>
      <c r="J293" s="149" t="str">
        <f>VLOOKUP(A293,'[1]Global Roaming'!F:T,15,0)</f>
        <v>YES</v>
      </c>
    </row>
    <row r="294" spans="1:10" ht="15.75" thickBot="1" x14ac:dyDescent="0.3">
      <c r="A294" s="140" t="s">
        <v>678</v>
      </c>
      <c r="B294" s="193"/>
      <c r="C294" s="134" t="s">
        <v>680</v>
      </c>
      <c r="D294" s="72">
        <v>100</v>
      </c>
      <c r="E294" s="150">
        <f>VLOOKUP(A294,'[1]Global Roaming'!F:I,3,0)</f>
        <v>470</v>
      </c>
      <c r="F294" s="150" t="str">
        <f>VLOOKUP(A294,'[1]Global Roaming'!F:I,4,0)</f>
        <v>01</v>
      </c>
      <c r="G294" s="151" t="str">
        <f>VLOOKUP(A294,'[1]Global Roaming'!F:Z,21,0)</f>
        <v>Bilateral</v>
      </c>
      <c r="H294" s="151" t="str">
        <f>VLOOKUP(A294,'[1]Global Roaming'!F:L,7,0)</f>
        <v>YES</v>
      </c>
      <c r="I294" s="151" t="str">
        <f>VLOOKUP(A294,'[1]Global Roaming'!F:P,11,0)</f>
        <v>YES</v>
      </c>
      <c r="J294" s="124" t="str">
        <f>VLOOKUP(A294,'[1]Global Roaming'!F:T,15,0)</f>
        <v>YES</v>
      </c>
    </row>
    <row r="295" spans="1:10" x14ac:dyDescent="0.25">
      <c r="A295" s="139" t="s">
        <v>681</v>
      </c>
      <c r="B295" s="192" t="s">
        <v>662</v>
      </c>
      <c r="C295" s="133" t="s">
        <v>685</v>
      </c>
      <c r="D295" s="44" t="s">
        <v>43</v>
      </c>
      <c r="E295" s="147" t="str">
        <f>VLOOKUP(A295,'[1]Global Roaming'!F:I,3,0)</f>
        <v>616</v>
      </c>
      <c r="F295" s="147" t="str">
        <f>VLOOKUP(A295,'[1]Global Roaming'!F:I,4,0)</f>
        <v>04</v>
      </c>
      <c r="G295" s="148" t="str">
        <f>VLOOKUP(A295,'[1]Global Roaming'!F:Z,21,0)</f>
        <v>Bilateral</v>
      </c>
      <c r="H295" s="148" t="str">
        <f>VLOOKUP(A295,'[1]Global Roaming'!F:L,7,0)</f>
        <v>YES</v>
      </c>
      <c r="I295" s="148">
        <f>VLOOKUP(A295,'[1]Global Roaming'!F:P,11,0)</f>
        <v>0</v>
      </c>
      <c r="J295" s="149">
        <f>VLOOKUP(A295,'[1]Global Roaming'!F:T,15,0)</f>
        <v>0</v>
      </c>
    </row>
    <row r="296" spans="1:10" x14ac:dyDescent="0.25">
      <c r="A296" s="127" t="s">
        <v>682</v>
      </c>
      <c r="B296" s="196"/>
      <c r="C296" s="121" t="s">
        <v>686</v>
      </c>
      <c r="D296" s="42" t="s">
        <v>43</v>
      </c>
      <c r="E296" s="152" t="str">
        <f>VLOOKUP(A296,'[1]Global Roaming'!F:I,3,0)</f>
        <v>616</v>
      </c>
      <c r="F296" s="152" t="str">
        <f>VLOOKUP(A296,'[1]Global Roaming'!F:I,4,0)</f>
        <v>02</v>
      </c>
      <c r="G296" s="153" t="str">
        <f>VLOOKUP(A296,'[1]Global Roaming'!F:Z,21,0)</f>
        <v>Orange Hub</v>
      </c>
      <c r="H296" s="153" t="str">
        <f>VLOOKUP(A296,'[1]Global Roaming'!F:L,7,0)</f>
        <v>YES</v>
      </c>
      <c r="I296" s="153" t="str">
        <f>VLOOKUP(A296,'[1]Global Roaming'!F:P,11,0)</f>
        <v>YES</v>
      </c>
      <c r="J296" s="154" t="str">
        <f>VLOOKUP(A296,'[1]Global Roaming'!F:T,15,0)</f>
        <v>YES</v>
      </c>
    </row>
    <row r="297" spans="1:10" x14ac:dyDescent="0.25">
      <c r="A297" s="127" t="s">
        <v>683</v>
      </c>
      <c r="B297" s="196"/>
      <c r="C297" s="121" t="s">
        <v>687</v>
      </c>
      <c r="D297" s="42">
        <v>90</v>
      </c>
      <c r="E297" s="152" t="str">
        <f>VLOOKUP(A297,'[1]Global Roaming'!F:I,3,0)</f>
        <v>616</v>
      </c>
      <c r="F297" s="152" t="str">
        <f>VLOOKUP(A297,'[1]Global Roaming'!F:I,4,0)</f>
        <v>03</v>
      </c>
      <c r="G297" s="153" t="str">
        <f>VLOOKUP(A297,'[1]Global Roaming'!F:Z,21,0)</f>
        <v>Orange Hub</v>
      </c>
      <c r="H297" s="153" t="str">
        <f>VLOOKUP(A297,'[1]Global Roaming'!F:L,7,0)</f>
        <v>YES</v>
      </c>
      <c r="I297" s="153" t="str">
        <f>VLOOKUP(A297,'[1]Global Roaming'!F:P,11,0)</f>
        <v>YES</v>
      </c>
      <c r="J297" s="154" t="str">
        <f>VLOOKUP(A297,'[1]Global Roaming'!F:T,15,0)</f>
        <v>N.A</v>
      </c>
    </row>
    <row r="298" spans="1:10" ht="15.75" thickBot="1" x14ac:dyDescent="0.3">
      <c r="A298" s="140" t="s">
        <v>684</v>
      </c>
      <c r="B298" s="193"/>
      <c r="C298" s="134" t="s">
        <v>688</v>
      </c>
      <c r="D298" s="72">
        <v>10</v>
      </c>
      <c r="E298" s="150" t="str">
        <f>VLOOKUP(A298,'[1]Global Roaming'!F:I,3,0)</f>
        <v>616</v>
      </c>
      <c r="F298" s="150" t="str">
        <f>VLOOKUP(A298,'[1]Global Roaming'!F:I,4,0)</f>
        <v>07</v>
      </c>
      <c r="G298" s="151" t="str">
        <f>VLOOKUP(A298,'[1]Global Roaming'!F:Z,21,0)</f>
        <v>Orange Hub</v>
      </c>
      <c r="H298" s="151" t="str">
        <f>VLOOKUP(A298,'[1]Global Roaming'!F:L,7,0)</f>
        <v>YES</v>
      </c>
      <c r="I298" s="151" t="str">
        <f>VLOOKUP(A298,'[1]Global Roaming'!F:P,11,0)</f>
        <v>YES</v>
      </c>
      <c r="J298" s="124" t="str">
        <f>VLOOKUP(A298,'[1]Global Roaming'!F:T,15,0)</f>
        <v>YES</v>
      </c>
    </row>
    <row r="299" spans="1:10" x14ac:dyDescent="0.25">
      <c r="A299" s="139" t="s">
        <v>691</v>
      </c>
      <c r="B299" s="194" t="s">
        <v>693</v>
      </c>
      <c r="C299" s="133" t="s">
        <v>689</v>
      </c>
      <c r="D299" s="44" t="s">
        <v>43</v>
      </c>
      <c r="E299" s="147" t="str">
        <f>VLOOKUP(A299,'[1]Global Roaming'!F:I,3,0)</f>
        <v>218</v>
      </c>
      <c r="F299" s="147" t="str">
        <f>VLOOKUP(A299,'[1]Global Roaming'!F:I,4,0)</f>
        <v>03</v>
      </c>
      <c r="G299" s="148" t="str">
        <f>VLOOKUP(A299,'[1]Global Roaming'!F:Z,21,0)</f>
        <v>Bilateral</v>
      </c>
      <c r="H299" s="148" t="str">
        <f>VLOOKUP(A299,'[1]Global Roaming'!F:L,7,0)</f>
        <v>YES</v>
      </c>
      <c r="I299" s="148" t="str">
        <f>VLOOKUP(A299,'[1]Global Roaming'!F:P,11,0)</f>
        <v>YES</v>
      </c>
      <c r="J299" s="149" t="str">
        <f>VLOOKUP(A299,'[1]Global Roaming'!F:T,15,0)</f>
        <v>YES</v>
      </c>
    </row>
    <row r="300" spans="1:10" ht="15.75" thickBot="1" x14ac:dyDescent="0.3">
      <c r="A300" s="128" t="s">
        <v>692</v>
      </c>
      <c r="B300" s="197"/>
      <c r="C300" s="122" t="s">
        <v>690</v>
      </c>
      <c r="D300" s="67">
        <v>100</v>
      </c>
      <c r="E300" s="155" t="str">
        <f>VLOOKUP(A300,'[1]Global Roaming'!F:I,3,0)</f>
        <v>218</v>
      </c>
      <c r="F300" s="155" t="str">
        <f>VLOOKUP(A300,'[1]Global Roaming'!F:I,4,0)</f>
        <v>05</v>
      </c>
      <c r="G300" s="156" t="str">
        <f>VLOOKUP(A300,'[1]Global Roaming'!F:Z,21,0)</f>
        <v>Comfone</v>
      </c>
      <c r="H300" s="156" t="str">
        <f>VLOOKUP(A300,'[1]Global Roaming'!F:L,7,0)</f>
        <v>YES</v>
      </c>
      <c r="I300" s="156" t="str">
        <f>VLOOKUP(A300,'[1]Global Roaming'!F:P,11,0)</f>
        <v>YES</v>
      </c>
      <c r="J300" s="157">
        <f>VLOOKUP(A300,'[1]Global Roaming'!F:T,15,0)</f>
        <v>0</v>
      </c>
    </row>
    <row r="301" spans="1:10" x14ac:dyDescent="0.25">
      <c r="A301" s="139" t="s">
        <v>696</v>
      </c>
      <c r="B301" s="192" t="s">
        <v>663</v>
      </c>
      <c r="C301" s="133" t="s">
        <v>694</v>
      </c>
      <c r="D301" s="44" t="s">
        <v>43</v>
      </c>
      <c r="E301" s="147" t="str">
        <f>VLOOKUP(A301,'[1]Global Roaming'!F:I,3,0)</f>
        <v>636</v>
      </c>
      <c r="F301" s="147" t="str">
        <f>VLOOKUP(A301,'[1]Global Roaming'!F:I,4,0)</f>
        <v>01</v>
      </c>
      <c r="G301" s="148" t="str">
        <f>VLOOKUP(A301,'[1]Global Roaming'!F:Z,21,0)</f>
        <v>Bilateral</v>
      </c>
      <c r="H301" s="148" t="str">
        <f>VLOOKUP(A301,'[1]Global Roaming'!F:L,7,0)</f>
        <v>YES</v>
      </c>
      <c r="I301" s="148" t="str">
        <f>VLOOKUP(A301,'[1]Global Roaming'!F:P,11,0)</f>
        <v>YES</v>
      </c>
      <c r="J301" s="149" t="str">
        <f>VLOOKUP(A301,'[1]Global Roaming'!F:T,15,0)</f>
        <v>YES</v>
      </c>
    </row>
    <row r="302" spans="1:10" ht="15.75" thickBot="1" x14ac:dyDescent="0.3">
      <c r="A302" s="140" t="s">
        <v>697</v>
      </c>
      <c r="B302" s="193"/>
      <c r="C302" s="134" t="s">
        <v>695</v>
      </c>
      <c r="D302" s="72">
        <v>100</v>
      </c>
      <c r="E302" s="150">
        <f>VLOOKUP(A302,'[1]Global Roaming'!F:I,3,0)</f>
        <v>636</v>
      </c>
      <c r="F302" s="150" t="str">
        <f>VLOOKUP(A302,'[1]Global Roaming'!F:I,4,0)</f>
        <v>02</v>
      </c>
      <c r="G302" s="151" t="str">
        <f>VLOOKUP(A302,'[1]Global Roaming'!F:Z,21,0)</f>
        <v>Bilateral</v>
      </c>
      <c r="H302" s="151" t="str">
        <f>VLOOKUP(A302,'[1]Global Roaming'!F:L,7,0)</f>
        <v>YES</v>
      </c>
      <c r="I302" s="151" t="str">
        <f>VLOOKUP(A302,'[1]Global Roaming'!F:P,11,0)</f>
        <v>YES</v>
      </c>
      <c r="J302" s="124" t="str">
        <f>VLOOKUP(A302,'[1]Global Roaming'!F:T,15,0)</f>
        <v>Planned</v>
      </c>
    </row>
    <row r="303" spans="1:10" ht="15" customHeight="1" x14ac:dyDescent="0.25">
      <c r="A303" s="139" t="s">
        <v>700</v>
      </c>
      <c r="B303" s="194" t="s">
        <v>664</v>
      </c>
      <c r="C303" s="133" t="s">
        <v>698</v>
      </c>
      <c r="D303" s="44" t="s">
        <v>43</v>
      </c>
      <c r="E303" s="147" t="str">
        <f>VLOOKUP(A303,'[1]Global Roaming'!F:I,3,0)</f>
        <v>547</v>
      </c>
      <c r="F303" s="147" t="str">
        <f>VLOOKUP(A303,'[1]Global Roaming'!F:I,4,0)</f>
        <v>20</v>
      </c>
      <c r="G303" s="148" t="str">
        <f>VLOOKUP(A303,'[1]Global Roaming'!F:Z,21,0)</f>
        <v>Comfone</v>
      </c>
      <c r="H303" s="148" t="str">
        <f>VLOOKUP(A303,'[1]Global Roaming'!F:L,7,0)</f>
        <v>YES</v>
      </c>
      <c r="I303" s="148" t="str">
        <f>VLOOKUP(A303,'[1]Global Roaming'!F:P,11,0)</f>
        <v>YES</v>
      </c>
      <c r="J303" s="149">
        <f>VLOOKUP(A303,'[1]Global Roaming'!F:T,15,0)</f>
        <v>0</v>
      </c>
    </row>
    <row r="304" spans="1:10" ht="15.75" thickBot="1" x14ac:dyDescent="0.3">
      <c r="A304" s="140" t="s">
        <v>701</v>
      </c>
      <c r="B304" s="195"/>
      <c r="C304" s="134" t="s">
        <v>699</v>
      </c>
      <c r="D304" s="72">
        <v>100</v>
      </c>
      <c r="E304" s="150" t="str">
        <f>VLOOKUP(A304,'[1]Global Roaming'!F:I,3,0)</f>
        <v>547</v>
      </c>
      <c r="F304" s="150" t="str">
        <f>VLOOKUP(A304,'[1]Global Roaming'!F:I,4,0)</f>
        <v>15</v>
      </c>
      <c r="G304" s="151" t="str">
        <f>VLOOKUP(A304,'[1]Global Roaming'!F:Z,21,0)</f>
        <v>Orange Hub</v>
      </c>
      <c r="H304" s="151" t="str">
        <f>VLOOKUP(A304,'[1]Global Roaming'!F:L,7,0)</f>
        <v>YES</v>
      </c>
      <c r="I304" s="151" t="str">
        <f>VLOOKUP(A304,'[1]Global Roaming'!F:P,11,0)</f>
        <v>YES</v>
      </c>
      <c r="J304" s="124" t="str">
        <f>VLOOKUP(A304,'[1]Global Roaming'!F:T,15,0)</f>
        <v>YES</v>
      </c>
    </row>
    <row r="305" spans="1:10" x14ac:dyDescent="0.25">
      <c r="A305" s="139" t="s">
        <v>703</v>
      </c>
      <c r="B305" s="186" t="s">
        <v>665</v>
      </c>
      <c r="C305" s="133" t="s">
        <v>702</v>
      </c>
      <c r="D305" s="44" t="s">
        <v>43</v>
      </c>
      <c r="E305" s="158" t="str">
        <f>VLOOKUP(A305,'[1]Global Roaming'!F:I,3,0)</f>
        <v>704</v>
      </c>
      <c r="F305" s="158" t="str">
        <f>VLOOKUP(A305,'[1]Global Roaming'!F:I,4,0)</f>
        <v>02</v>
      </c>
      <c r="G305" s="159" t="str">
        <f>VLOOKUP(A305,'[1]Global Roaming'!F:Z,21,0)</f>
        <v>Comfone</v>
      </c>
      <c r="H305" s="159" t="str">
        <f>VLOOKUP(A305,'[1]Global Roaming'!F:L,7,0)</f>
        <v>YES</v>
      </c>
      <c r="I305" s="159" t="str">
        <f>VLOOKUP(A305,'[1]Global Roaming'!F:P,11,0)</f>
        <v>YES</v>
      </c>
      <c r="J305" s="160">
        <f>VLOOKUP(A305,'[1]Global Roaming'!F:T,15,0)</f>
        <v>0</v>
      </c>
    </row>
    <row r="306" spans="1:10" ht="15.75" thickBot="1" x14ac:dyDescent="0.3">
      <c r="A306" s="140" t="s">
        <v>704</v>
      </c>
      <c r="B306" s="188"/>
      <c r="C306" s="134" t="s">
        <v>705</v>
      </c>
      <c r="D306" s="72">
        <v>100</v>
      </c>
      <c r="E306" s="150" t="str">
        <f>VLOOKUP(A306,'[1]Global Roaming'!F:I,3,0)</f>
        <v>704</v>
      </c>
      <c r="F306" s="150" t="str">
        <f>VLOOKUP(A306,'[1]Global Roaming'!F:I,4,0)</f>
        <v>01</v>
      </c>
      <c r="G306" s="151" t="str">
        <f>VLOOKUP(A306,'[1]Global Roaming'!F:Z,21,0)</f>
        <v>Comfone</v>
      </c>
      <c r="H306" s="151" t="str">
        <f>VLOOKUP(A306,'[1]Global Roaming'!F:L,7,0)</f>
        <v>YES</v>
      </c>
      <c r="I306" s="151" t="str">
        <f>VLOOKUP(A306,'[1]Global Roaming'!F:P,11,0)</f>
        <v>YES</v>
      </c>
      <c r="J306" s="124">
        <f>VLOOKUP(A306,'[1]Global Roaming'!F:T,15,0)</f>
        <v>0</v>
      </c>
    </row>
    <row r="307" spans="1:10" x14ac:dyDescent="0.25">
      <c r="A307" s="139" t="s">
        <v>707</v>
      </c>
      <c r="B307" s="186" t="s">
        <v>666</v>
      </c>
      <c r="C307" s="133" t="s">
        <v>709</v>
      </c>
      <c r="D307" s="44">
        <v>100</v>
      </c>
      <c r="E307" s="147" t="str">
        <f>VLOOKUP(A307,'[1]Global Roaming'!F:I,3,0)</f>
        <v>708</v>
      </c>
      <c r="F307" s="147" t="str">
        <f>VLOOKUP(A307,'[1]Global Roaming'!F:I,4,0)</f>
        <v>001</v>
      </c>
      <c r="G307" s="148" t="str">
        <f>VLOOKUP(A307,'[1]Global Roaming'!F:Z,21,0)</f>
        <v>Comfone</v>
      </c>
      <c r="H307" s="148" t="str">
        <f>VLOOKUP(A307,'[1]Global Roaming'!F:L,7,0)</f>
        <v>YES</v>
      </c>
      <c r="I307" s="148" t="str">
        <f>VLOOKUP(A307,'[1]Global Roaming'!F:P,11,0)</f>
        <v>YES</v>
      </c>
      <c r="J307" s="149">
        <f>VLOOKUP(A307,'[1]Global Roaming'!F:T,15,0)</f>
        <v>0</v>
      </c>
    </row>
    <row r="308" spans="1:10" ht="15.75" thickBot="1" x14ac:dyDescent="0.3">
      <c r="A308" s="140" t="s">
        <v>708</v>
      </c>
      <c r="B308" s="188"/>
      <c r="C308" s="134" t="s">
        <v>706</v>
      </c>
      <c r="D308" s="72" t="s">
        <v>43</v>
      </c>
      <c r="E308" s="150" t="str">
        <f>VLOOKUP(A308,'[1]Global Roaming'!F:I,3,0)</f>
        <v>708</v>
      </c>
      <c r="F308" s="150" t="str">
        <f>VLOOKUP(A308,'[1]Global Roaming'!F:I,4,0)</f>
        <v>02</v>
      </c>
      <c r="G308" s="151" t="str">
        <f>VLOOKUP(A308,'[1]Global Roaming'!F:Z,21,0)</f>
        <v>Comfone</v>
      </c>
      <c r="H308" s="151" t="str">
        <f>VLOOKUP(A308,'[1]Global Roaming'!F:L,7,0)</f>
        <v>YES</v>
      </c>
      <c r="I308" s="151" t="str">
        <f>VLOOKUP(A308,'[1]Global Roaming'!F:P,11,0)</f>
        <v>YES</v>
      </c>
      <c r="J308" s="124" t="str">
        <f>VLOOKUP(A308,'[1]Global Roaming'!F:T,15,0)</f>
        <v>YES</v>
      </c>
    </row>
    <row r="309" spans="1:10" x14ac:dyDescent="0.25">
      <c r="A309" s="139" t="s">
        <v>712</v>
      </c>
      <c r="B309" s="186" t="s">
        <v>667</v>
      </c>
      <c r="C309" s="133" t="s">
        <v>710</v>
      </c>
      <c r="D309" s="44">
        <v>10</v>
      </c>
      <c r="E309" s="147" t="str">
        <f>VLOOKUP(A309,'[1]Global Roaming'!F:I,3,0)</f>
        <v>618</v>
      </c>
      <c r="F309" s="147" t="str">
        <f>VLOOKUP(A309,'[1]Global Roaming'!F:I,4,0)</f>
        <v>01</v>
      </c>
      <c r="G309" s="148" t="str">
        <f>VLOOKUP(A309,'[1]Global Roaming'!F:Z,21,0)</f>
        <v>Orange Hub</v>
      </c>
      <c r="H309" s="148" t="str">
        <f>VLOOKUP(A309,'[1]Global Roaming'!F:L,7,0)</f>
        <v>YES</v>
      </c>
      <c r="I309" s="148" t="str">
        <f>VLOOKUP(A309,'[1]Global Roaming'!F:P,11,0)</f>
        <v>YES</v>
      </c>
      <c r="J309" s="149">
        <f>VLOOKUP(A309,'[1]Global Roaming'!F:T,15,0)</f>
        <v>0</v>
      </c>
    </row>
    <row r="310" spans="1:10" ht="15.75" thickBot="1" x14ac:dyDescent="0.3">
      <c r="A310" s="140" t="s">
        <v>713</v>
      </c>
      <c r="B310" s="188"/>
      <c r="C310" s="134" t="s">
        <v>711</v>
      </c>
      <c r="D310" s="72">
        <v>90</v>
      </c>
      <c r="E310" s="150" t="str">
        <f>VLOOKUP(A310,'[1]Global Roaming'!F:I,3,0)</f>
        <v>618</v>
      </c>
      <c r="F310" s="150" t="str">
        <f>VLOOKUP(A310,'[1]Global Roaming'!F:I,4,0)</f>
        <v>07</v>
      </c>
      <c r="G310" s="151" t="str">
        <f>VLOOKUP(A310,'[1]Global Roaming'!F:Z,21,0)</f>
        <v>Bilateral</v>
      </c>
      <c r="H310" s="151" t="str">
        <f>VLOOKUP(A310,'[1]Global Roaming'!F:L,7,0)</f>
        <v>YES</v>
      </c>
      <c r="I310" s="151" t="str">
        <f>VLOOKUP(A310,'[1]Global Roaming'!F:P,11,0)</f>
        <v>YES</v>
      </c>
      <c r="J310" s="124" t="str">
        <f>VLOOKUP(A310,'[1]Global Roaming'!F:T,15,0)</f>
        <v>YES</v>
      </c>
    </row>
    <row r="311" spans="1:10" x14ac:dyDescent="0.25">
      <c r="A311" s="139" t="s">
        <v>717</v>
      </c>
      <c r="B311" s="186" t="s">
        <v>668</v>
      </c>
      <c r="C311" s="133" t="s">
        <v>714</v>
      </c>
      <c r="D311" s="44" t="s">
        <v>43</v>
      </c>
      <c r="E311" s="147" t="str">
        <f>VLOOKUP(A311,'[1]Global Roaming'!F:I,3,0)</f>
        <v>410</v>
      </c>
      <c r="F311" s="147" t="str">
        <f>VLOOKUP(A311,'[1]Global Roaming'!F:I,4,0)</f>
        <v>04</v>
      </c>
      <c r="G311" s="148" t="str">
        <f>VLOOKUP(A311,'[1]Global Roaming'!F:Z,21,0)</f>
        <v>Bilateral</v>
      </c>
      <c r="H311" s="148" t="str">
        <f>VLOOKUP(A311,'[1]Global Roaming'!F:L,7,0)</f>
        <v>YES</v>
      </c>
      <c r="I311" s="148" t="str">
        <f>VLOOKUP(A311,'[1]Global Roaming'!F:P,11,0)</f>
        <v>YES</v>
      </c>
      <c r="J311" s="149" t="str">
        <f>VLOOKUP(A311,'[1]Global Roaming'!F:T,15,0)</f>
        <v>YES</v>
      </c>
    </row>
    <row r="312" spans="1:10" x14ac:dyDescent="0.25">
      <c r="A312" s="127" t="s">
        <v>718</v>
      </c>
      <c r="B312" s="187"/>
      <c r="C312" s="121" t="s">
        <v>715</v>
      </c>
      <c r="D312" s="42">
        <v>100</v>
      </c>
      <c r="E312" s="152" t="str">
        <f>VLOOKUP(A312,'[1]Global Roaming'!F:I,3,0)</f>
        <v>410</v>
      </c>
      <c r="F312" s="152" t="str">
        <f>VLOOKUP(A312,'[1]Global Roaming'!F:I,4,0)</f>
        <v>01</v>
      </c>
      <c r="G312" s="153" t="str">
        <f>VLOOKUP(A312,'[1]Global Roaming'!F:Z,21,0)</f>
        <v>Bilateral</v>
      </c>
      <c r="H312" s="153" t="str">
        <f>VLOOKUP(A312,'[1]Global Roaming'!F:L,7,0)</f>
        <v>YES</v>
      </c>
      <c r="I312" s="153">
        <f>VLOOKUP(A312,'[1]Global Roaming'!F:P,11,0)</f>
        <v>0</v>
      </c>
      <c r="J312" s="154">
        <f>VLOOKUP(A312,'[1]Global Roaming'!F:T,15,0)</f>
        <v>0</v>
      </c>
    </row>
    <row r="313" spans="1:10" ht="15.75" thickBot="1" x14ac:dyDescent="0.3">
      <c r="A313" s="140" t="s">
        <v>719</v>
      </c>
      <c r="B313" s="188"/>
      <c r="C313" s="134" t="s">
        <v>716</v>
      </c>
      <c r="D313" s="72">
        <v>100</v>
      </c>
      <c r="E313" s="150" t="str">
        <f>VLOOKUP(A313,'[1]Global Roaming'!F:I,3,0)</f>
        <v>410</v>
      </c>
      <c r="F313" s="150" t="str">
        <f>VLOOKUP(A313,'[1]Global Roaming'!F:I,4,0)</f>
        <v>07</v>
      </c>
      <c r="G313" s="151" t="str">
        <f>VLOOKUP(A313,'[1]Global Roaming'!F:Z,21,0)</f>
        <v>Bilateral</v>
      </c>
      <c r="H313" s="151" t="str">
        <f>VLOOKUP(A313,'[1]Global Roaming'!F:L,7,0)</f>
        <v>YES</v>
      </c>
      <c r="I313" s="151" t="str">
        <f>VLOOKUP(A313,'[1]Global Roaming'!F:P,11,0)</f>
        <v>YES</v>
      </c>
      <c r="J313" s="124">
        <f>VLOOKUP(A313,'[1]Global Roaming'!F:T,15,0)</f>
        <v>0</v>
      </c>
    </row>
    <row r="314" spans="1:10" x14ac:dyDescent="0.25">
      <c r="A314" s="141" t="s">
        <v>722</v>
      </c>
      <c r="B314" s="186" t="s">
        <v>669</v>
      </c>
      <c r="C314" s="133" t="s">
        <v>720</v>
      </c>
      <c r="D314" s="44" t="s">
        <v>43</v>
      </c>
      <c r="E314" s="147" t="str">
        <f>VLOOKUP(A314,'[1]Global Roaming'!F:I,3,0)</f>
        <v>635</v>
      </c>
      <c r="F314" s="147" t="str">
        <f>VLOOKUP(A314,'[1]Global Roaming'!F:I,4,0)</f>
        <v>13</v>
      </c>
      <c r="G314" s="148" t="str">
        <f>VLOOKUP(A314,'[1]Global Roaming'!F:Z,21,0)</f>
        <v>Bilateral</v>
      </c>
      <c r="H314" s="148" t="str">
        <f>VLOOKUP(A314,'[1]Global Roaming'!F:L,7,0)</f>
        <v>YES</v>
      </c>
      <c r="I314" s="148" t="str">
        <f>VLOOKUP(A314,'[1]Global Roaming'!F:P,11,0)</f>
        <v>YES</v>
      </c>
      <c r="J314" s="149">
        <f>VLOOKUP(A314,'[1]Global Roaming'!F:T,15,0)</f>
        <v>0</v>
      </c>
    </row>
    <row r="315" spans="1:10" x14ac:dyDescent="0.25">
      <c r="A315" s="142" t="s">
        <v>723</v>
      </c>
      <c r="B315" s="187"/>
      <c r="C315" s="121" t="s">
        <v>720</v>
      </c>
      <c r="D315" s="42" t="s">
        <v>43</v>
      </c>
      <c r="E315" s="152" t="str">
        <f>VLOOKUP(A315,'[1]Global Roaming'!F:I,3,0)</f>
        <v>635</v>
      </c>
      <c r="F315" s="152" t="str">
        <f>VLOOKUP(A315,'[1]Global Roaming'!F:I,4,0)</f>
        <v>14</v>
      </c>
      <c r="G315" s="153" t="str">
        <f>VLOOKUP(A315,'[1]Global Roaming'!F:Z,21,0)</f>
        <v>Bilateral</v>
      </c>
      <c r="H315" s="153" t="str">
        <f>VLOOKUP(A315,'[1]Global Roaming'!F:L,7,0)</f>
        <v>YES</v>
      </c>
      <c r="I315" s="153" t="str">
        <f>VLOOKUP(A315,'[1]Global Roaming'!F:P,11,0)</f>
        <v>YES</v>
      </c>
      <c r="J315" s="154">
        <f>VLOOKUP(A315,'[1]Global Roaming'!F:T,15,0)</f>
        <v>0</v>
      </c>
    </row>
    <row r="316" spans="1:10" ht="15.75" thickBot="1" x14ac:dyDescent="0.3">
      <c r="A316" s="143" t="s">
        <v>724</v>
      </c>
      <c r="B316" s="188"/>
      <c r="C316" s="134" t="s">
        <v>721</v>
      </c>
      <c r="D316" s="72">
        <v>100</v>
      </c>
      <c r="E316" s="150" t="str">
        <f>VLOOKUP(A316,'[1]Global Roaming'!F:I,3,0)</f>
        <v>635</v>
      </c>
      <c r="F316" s="150" t="str">
        <f>VLOOKUP(A316,'[1]Global Roaming'!F:I,4,0)</f>
        <v>10</v>
      </c>
      <c r="G316" s="151" t="str">
        <f>VLOOKUP(A316,'[1]Global Roaming'!F:Z,21,0)</f>
        <v>Orange Hub</v>
      </c>
      <c r="H316" s="151" t="str">
        <f>VLOOKUP(A316,'[1]Global Roaming'!F:L,7,0)</f>
        <v>YES</v>
      </c>
      <c r="I316" s="151" t="str">
        <f>VLOOKUP(A316,'[1]Global Roaming'!F:P,11,0)</f>
        <v>YES</v>
      </c>
      <c r="J316" s="124">
        <f>VLOOKUP(A316,'[1]Global Roaming'!F:T,15,0)</f>
        <v>0</v>
      </c>
    </row>
    <row r="317" spans="1:10" x14ac:dyDescent="0.25">
      <c r="A317" s="144" t="s">
        <v>730</v>
      </c>
      <c r="B317" s="189" t="s">
        <v>670</v>
      </c>
      <c r="C317" s="135" t="s">
        <v>725</v>
      </c>
      <c r="D317" s="44" t="s">
        <v>43</v>
      </c>
      <c r="E317" s="161" t="str">
        <f>VLOOKUP(A317,'[1]Global Roaming'!F:I,3,0)</f>
        <v>452</v>
      </c>
      <c r="F317" s="161" t="str">
        <f>VLOOKUP(A317,'[1]Global Roaming'!F:I,4,0)</f>
        <v>07</v>
      </c>
      <c r="G317" s="162" t="str">
        <f>VLOOKUP(A317,'[1]Global Roaming'!F:Z,21,0)</f>
        <v>Bilateral</v>
      </c>
      <c r="H317" s="162" t="str">
        <f>VLOOKUP(A317,'[1]Global Roaming'!F:L,7,0)</f>
        <v>YES</v>
      </c>
      <c r="I317" s="162" t="str">
        <f>VLOOKUP(A317,'[1]Global Roaming'!F:P,11,0)</f>
        <v>Arrêté</v>
      </c>
      <c r="J317" s="163">
        <f>VLOOKUP(A317,'[1]Global Roaming'!F:T,15,0)</f>
        <v>0</v>
      </c>
    </row>
    <row r="318" spans="1:10" x14ac:dyDescent="0.25">
      <c r="A318" s="145" t="s">
        <v>731</v>
      </c>
      <c r="B318" s="190"/>
      <c r="C318" s="136" t="s">
        <v>726</v>
      </c>
      <c r="D318" s="42" t="s">
        <v>43</v>
      </c>
      <c r="E318" s="164" t="str">
        <f>VLOOKUP(A318,'[1]Global Roaming'!F:I,3,0)</f>
        <v>452</v>
      </c>
      <c r="F318" s="164" t="str">
        <f>VLOOKUP(A318,'[1]Global Roaming'!F:I,4,0)</f>
        <v>05</v>
      </c>
      <c r="G318" s="165" t="str">
        <f>VLOOKUP(A318,'[1]Global Roaming'!F:Z,21,0)</f>
        <v>Comfone</v>
      </c>
      <c r="H318" s="165" t="str">
        <f>VLOOKUP(A318,'[1]Global Roaming'!F:L,7,0)</f>
        <v>YES</v>
      </c>
      <c r="I318" s="165" t="str">
        <f>VLOOKUP(A318,'[1]Global Roaming'!F:P,11,0)</f>
        <v>YES</v>
      </c>
      <c r="J318" s="166">
        <f>VLOOKUP(A318,'[1]Global Roaming'!F:T,15,0)</f>
        <v>0</v>
      </c>
    </row>
    <row r="319" spans="1:10" x14ac:dyDescent="0.25">
      <c r="A319" s="145" t="s">
        <v>732</v>
      </c>
      <c r="B319" s="190"/>
      <c r="C319" s="136" t="s">
        <v>727</v>
      </c>
      <c r="D319" s="42" t="s">
        <v>43</v>
      </c>
      <c r="E319" s="164" t="str">
        <f>VLOOKUP(A319,'[1]Global Roaming'!F:I,3,0)</f>
        <v>452</v>
      </c>
      <c r="F319" s="164" t="str">
        <f>VLOOKUP(A319,'[1]Global Roaming'!F:I,4,0)</f>
        <v>04</v>
      </c>
      <c r="G319" s="165" t="str">
        <f>VLOOKUP(A319,'[1]Global Roaming'!F:Z,21,0)</f>
        <v>Comfone</v>
      </c>
      <c r="H319" s="165" t="str">
        <f>VLOOKUP(A319,'[1]Global Roaming'!F:L,7,0)</f>
        <v>YES</v>
      </c>
      <c r="I319" s="165" t="str">
        <f>VLOOKUP(A319,'[1]Global Roaming'!F:P,11,0)</f>
        <v>Arrêté</v>
      </c>
      <c r="J319" s="166" t="str">
        <f>VLOOKUP(A319,'[1]Global Roaming'!F:T,15,0)</f>
        <v>YES</v>
      </c>
    </row>
    <row r="320" spans="1:10" x14ac:dyDescent="0.25">
      <c r="A320" s="145" t="s">
        <v>733</v>
      </c>
      <c r="B320" s="190"/>
      <c r="C320" s="136" t="s">
        <v>729</v>
      </c>
      <c r="D320" s="42" t="s">
        <v>43</v>
      </c>
      <c r="E320" s="164" t="str">
        <f>VLOOKUP(A320,'[1]Global Roaming'!F:I,3,0)</f>
        <v>452</v>
      </c>
      <c r="F320" s="164" t="str">
        <f>VLOOKUP(A320,'[1]Global Roaming'!F:I,4,0)</f>
        <v>02</v>
      </c>
      <c r="G320" s="165" t="str">
        <f>VLOOKUP(A320,'[1]Global Roaming'!F:Z,21,0)</f>
        <v>Comfone</v>
      </c>
      <c r="H320" s="165" t="str">
        <f>VLOOKUP(A320,'[1]Global Roaming'!F:L,7,0)</f>
        <v>YES</v>
      </c>
      <c r="I320" s="165" t="str">
        <f>VLOOKUP(A320,'[1]Global Roaming'!F:P,11,0)</f>
        <v>YES</v>
      </c>
      <c r="J320" s="166">
        <f>VLOOKUP(A320,'[1]Global Roaming'!F:T,15,0)</f>
        <v>0</v>
      </c>
    </row>
    <row r="321" spans="1:10" ht="15.75" thickBot="1" x14ac:dyDescent="0.3">
      <c r="A321" s="146" t="s">
        <v>734</v>
      </c>
      <c r="B321" s="191"/>
      <c r="C321" s="137" t="s">
        <v>728</v>
      </c>
      <c r="D321" s="67">
        <v>100</v>
      </c>
      <c r="E321" s="167" t="str">
        <f>VLOOKUP(A321,'[1]Global Roaming'!F:I,3,0)</f>
        <v>452</v>
      </c>
      <c r="F321" s="167" t="str">
        <f>VLOOKUP(A321,'[1]Global Roaming'!F:I,4,0)</f>
        <v>01</v>
      </c>
      <c r="G321" s="168" t="str">
        <f>VLOOKUP(A321,'[1]Global Roaming'!F:Z,21,0)</f>
        <v>Bilateral</v>
      </c>
      <c r="H321" s="168" t="str">
        <f>VLOOKUP(A321,'[1]Global Roaming'!F:L,7,0)</f>
        <v>YES</v>
      </c>
      <c r="I321" s="168" t="str">
        <f>VLOOKUP(A321,'[1]Global Roaming'!F:P,11,0)</f>
        <v>YES</v>
      </c>
      <c r="J321" s="169">
        <f>VLOOKUP(A321,'[1]Global Roaming'!F:T,15,0)</f>
        <v>0</v>
      </c>
    </row>
    <row r="322" spans="1:10" x14ac:dyDescent="0.25">
      <c r="A322" s="141" t="s">
        <v>737</v>
      </c>
      <c r="B322" s="192" t="s">
        <v>671</v>
      </c>
      <c r="C322" s="138" t="s">
        <v>735</v>
      </c>
      <c r="D322" s="44">
        <v>100</v>
      </c>
      <c r="E322" s="147" t="str">
        <f>VLOOKUP(A322,'[1]Global Roaming'!F:I,3,0)</f>
        <v>645</v>
      </c>
      <c r="F322" s="147" t="str">
        <f>VLOOKUP(A322,'[1]Global Roaming'!F:I,4,0)</f>
        <v>02</v>
      </c>
      <c r="G322" s="148" t="str">
        <f>VLOOKUP(A322,'[1]Global Roaming'!F:Z,21,0)</f>
        <v>Orange Hub</v>
      </c>
      <c r="H322" s="148" t="str">
        <f>VLOOKUP(A322,'[1]Global Roaming'!F:L,7,0)</f>
        <v>YES</v>
      </c>
      <c r="I322" s="148" t="str">
        <f>VLOOKUP(A322,'[1]Global Roaming'!F:P,11,0)</f>
        <v>YES</v>
      </c>
      <c r="J322" s="149">
        <f>VLOOKUP(A322,'[1]Global Roaming'!F:T,15,0)</f>
        <v>0</v>
      </c>
    </row>
    <row r="323" spans="1:10" ht="15.75" thickBot="1" x14ac:dyDescent="0.3">
      <c r="A323" s="143" t="s">
        <v>738</v>
      </c>
      <c r="B323" s="193"/>
      <c r="C323" s="170" t="s">
        <v>736</v>
      </c>
      <c r="D323" s="72" t="s">
        <v>43</v>
      </c>
      <c r="E323" s="150" t="str">
        <f>VLOOKUP(A323,'[1]Global Roaming'!F:I,3,0)</f>
        <v>645</v>
      </c>
      <c r="F323" s="150" t="str">
        <f>VLOOKUP(A323,'[1]Global Roaming'!F:I,4,0)</f>
        <v>03</v>
      </c>
      <c r="G323" s="151" t="str">
        <f>VLOOKUP(A323,'[1]Global Roaming'!F:Z,21,0)</f>
        <v>Bilateral</v>
      </c>
      <c r="H323" s="151" t="str">
        <f>VLOOKUP(A323,'[1]Global Roaming'!F:L,7,0)</f>
        <v>YES</v>
      </c>
      <c r="I323" s="151" t="str">
        <f>VLOOKUP(A323,'[1]Global Roaming'!F:P,11,0)</f>
        <v>Planned</v>
      </c>
      <c r="J323" s="124" t="str">
        <f>VLOOKUP(A323,'[1]Global Roaming'!F:T,15,0)</f>
        <v>Planned</v>
      </c>
    </row>
    <row r="324" spans="1:10" x14ac:dyDescent="0.25">
      <c r="A324" s="141" t="s">
        <v>742</v>
      </c>
      <c r="B324" s="192" t="s">
        <v>741</v>
      </c>
      <c r="C324" s="133" t="s">
        <v>744</v>
      </c>
      <c r="D324" s="44">
        <v>100</v>
      </c>
      <c r="E324" s="47">
        <v>617</v>
      </c>
      <c r="F324" s="158" t="str">
        <f>VLOOKUP(A324,'[1]Global Roaming'!F:I,4,0)</f>
        <v>01</v>
      </c>
      <c r="G324" s="159" t="str">
        <f>VLOOKUP(A324,'[1]Global Roaming'!F:Z,21,0)</f>
        <v>Orange Hub</v>
      </c>
      <c r="H324" s="159" t="str">
        <f>VLOOKUP(A324,'[1]Global Roaming'!F:L,7,0)</f>
        <v>YES</v>
      </c>
      <c r="I324" s="159" t="str">
        <f>VLOOKUP(A324,'[1]Global Roaming'!F:P,11,0)</f>
        <v>YES</v>
      </c>
      <c r="J324" s="160" t="str">
        <f>VLOOKUP(A324,'[1]Global Roaming'!F:T,15,0)</f>
        <v>YES</v>
      </c>
    </row>
    <row r="325" spans="1:10" ht="15.75" thickBot="1" x14ac:dyDescent="0.3">
      <c r="A325" s="172" t="s">
        <v>743</v>
      </c>
      <c r="B325" s="217"/>
      <c r="C325" s="122" t="s">
        <v>745</v>
      </c>
      <c r="D325" s="67" t="s">
        <v>43</v>
      </c>
      <c r="E325" s="51">
        <v>617</v>
      </c>
      <c r="F325" s="155" t="str">
        <f>VLOOKUP(A325,'[1]Global Roaming'!F:I,4,0)</f>
        <v>03</v>
      </c>
      <c r="G325" s="156" t="str">
        <f>VLOOKUP(A325,'[1]Global Roaming'!F:Z,21,0)</f>
        <v>Orange Hub</v>
      </c>
      <c r="H325" s="156" t="str">
        <f>VLOOKUP(A325,'[1]Global Roaming'!F:L,7,0)</f>
        <v>YES</v>
      </c>
      <c r="I325" s="156" t="str">
        <f>VLOOKUP(A325,'[1]Global Roaming'!F:P,11,0)</f>
        <v>YES</v>
      </c>
      <c r="J325" s="157">
        <f>VLOOKUP(A325,'[1]Global Roaming'!F:T,15,0)</f>
        <v>0</v>
      </c>
    </row>
    <row r="326" spans="1:10" x14ac:dyDescent="0.25">
      <c r="A326" s="113"/>
      <c r="B326" s="113"/>
      <c r="C326" s="114"/>
      <c r="D326" s="131"/>
      <c r="E326" s="19"/>
      <c r="F326" s="19"/>
      <c r="G326" s="37"/>
      <c r="H326" s="37"/>
      <c r="I326" s="37"/>
      <c r="J326" s="37"/>
    </row>
    <row r="327" spans="1:10" x14ac:dyDescent="0.25">
      <c r="A327" s="113"/>
      <c r="B327" s="113"/>
      <c r="C327" s="114"/>
      <c r="D327" s="131"/>
      <c r="E327" s="19"/>
      <c r="F327" s="19"/>
      <c r="G327" s="37"/>
      <c r="H327" s="37"/>
      <c r="I327" s="37"/>
      <c r="J327" s="37"/>
    </row>
    <row r="328" spans="1:10" x14ac:dyDescent="0.25">
      <c r="A328" s="113"/>
      <c r="B328" s="113"/>
      <c r="C328" s="114"/>
      <c r="D328" s="131"/>
      <c r="E328" s="19"/>
      <c r="F328" s="19"/>
      <c r="G328" s="37"/>
      <c r="H328" s="37"/>
      <c r="I328" s="37"/>
      <c r="J328" s="37"/>
    </row>
    <row r="329" spans="1:10" x14ac:dyDescent="0.25">
      <c r="A329" s="113"/>
      <c r="B329" s="113"/>
      <c r="C329" s="114"/>
      <c r="D329" s="131"/>
      <c r="E329" s="19"/>
      <c r="F329" s="19"/>
      <c r="G329" s="37"/>
      <c r="H329" s="37"/>
      <c r="I329" s="37"/>
      <c r="J329" s="37"/>
    </row>
    <row r="330" spans="1:10" x14ac:dyDescent="0.25">
      <c r="A330" s="113"/>
      <c r="B330" s="113"/>
      <c r="C330" s="114"/>
      <c r="D330" s="131"/>
      <c r="E330" s="19"/>
      <c r="F330" s="19"/>
      <c r="G330" s="37"/>
      <c r="H330" s="37"/>
      <c r="I330" s="37"/>
      <c r="J330" s="37"/>
    </row>
    <row r="331" spans="1:10" x14ac:dyDescent="0.25">
      <c r="A331" s="113"/>
      <c r="B331" s="113"/>
      <c r="C331" s="114"/>
      <c r="D331" s="131"/>
      <c r="E331" s="19"/>
      <c r="F331" s="19"/>
      <c r="G331" s="37"/>
      <c r="H331" s="37"/>
      <c r="I331" s="37"/>
      <c r="J331" s="37"/>
    </row>
    <row r="332" spans="1:10" x14ac:dyDescent="0.25">
      <c r="A332" s="113"/>
      <c r="B332" s="113"/>
      <c r="C332" s="114"/>
      <c r="D332" s="131"/>
      <c r="E332" s="19"/>
      <c r="F332" s="19"/>
      <c r="G332" s="37"/>
      <c r="H332" s="37"/>
      <c r="I332" s="37"/>
      <c r="J332" s="37"/>
    </row>
    <row r="333" spans="1:10" x14ac:dyDescent="0.25">
      <c r="A333" s="113"/>
      <c r="B333" s="113"/>
      <c r="C333" s="114"/>
      <c r="D333" s="131"/>
      <c r="E333" s="19"/>
      <c r="F333" s="19"/>
      <c r="G333" s="37"/>
      <c r="H333" s="37"/>
      <c r="I333" s="37"/>
      <c r="J333" s="37"/>
    </row>
    <row r="334" spans="1:10" x14ac:dyDescent="0.25">
      <c r="A334" s="113"/>
      <c r="B334" s="113"/>
      <c r="C334" s="114"/>
      <c r="D334" s="131"/>
      <c r="E334" s="19"/>
      <c r="F334" s="19"/>
      <c r="G334" s="37"/>
      <c r="H334" s="37"/>
      <c r="I334" s="37"/>
      <c r="J334" s="37"/>
    </row>
    <row r="335" spans="1:10" x14ac:dyDescent="0.25">
      <c r="A335" s="113"/>
      <c r="B335" s="113"/>
      <c r="C335" s="114"/>
      <c r="D335" s="131"/>
      <c r="E335" s="19"/>
      <c r="F335" s="19"/>
      <c r="G335" s="37"/>
      <c r="H335" s="37"/>
      <c r="I335" s="37"/>
      <c r="J335" s="37"/>
    </row>
    <row r="336" spans="1:10" x14ac:dyDescent="0.25">
      <c r="A336" s="113"/>
      <c r="B336" s="113"/>
      <c r="C336" s="114"/>
      <c r="D336" s="131"/>
      <c r="E336" s="19"/>
      <c r="F336" s="19"/>
      <c r="G336" s="37"/>
      <c r="H336" s="37"/>
      <c r="I336" s="37"/>
      <c r="J336" s="37"/>
    </row>
    <row r="337" spans="1:10" x14ac:dyDescent="0.25">
      <c r="A337" s="113"/>
      <c r="B337" s="113"/>
      <c r="C337" s="114"/>
      <c r="D337" s="131"/>
      <c r="E337" s="19"/>
      <c r="F337" s="19"/>
      <c r="G337" s="37"/>
      <c r="H337" s="37"/>
      <c r="I337" s="37"/>
      <c r="J337" s="37"/>
    </row>
    <row r="338" spans="1:10" x14ac:dyDescent="0.25">
      <c r="A338" s="113"/>
      <c r="B338" s="113"/>
      <c r="C338" s="114"/>
      <c r="D338" s="131"/>
      <c r="E338" s="19"/>
      <c r="F338" s="19"/>
      <c r="G338" s="37"/>
      <c r="H338" s="37"/>
      <c r="I338" s="37"/>
      <c r="J338" s="37"/>
    </row>
    <row r="339" spans="1:10" x14ac:dyDescent="0.25">
      <c r="A339" s="113"/>
      <c r="B339" s="113"/>
      <c r="C339" s="114"/>
      <c r="D339" s="131"/>
      <c r="E339" s="19"/>
      <c r="F339" s="19"/>
      <c r="G339" s="37"/>
      <c r="H339" s="37"/>
      <c r="I339" s="37"/>
      <c r="J339" s="37"/>
    </row>
    <row r="340" spans="1:10" x14ac:dyDescent="0.25">
      <c r="A340" s="113"/>
      <c r="B340" s="113"/>
      <c r="C340" s="114"/>
      <c r="D340" s="131"/>
      <c r="E340" s="19"/>
      <c r="F340" s="19"/>
      <c r="G340" s="37"/>
      <c r="H340" s="37"/>
      <c r="I340" s="37"/>
      <c r="J340" s="37"/>
    </row>
    <row r="341" spans="1:10" x14ac:dyDescent="0.25">
      <c r="A341" s="113"/>
      <c r="B341" s="113"/>
      <c r="C341" s="114"/>
      <c r="D341" s="131"/>
      <c r="E341" s="19"/>
      <c r="F341" s="19"/>
      <c r="G341" s="37"/>
      <c r="H341" s="37"/>
      <c r="I341" s="37"/>
      <c r="J341" s="37"/>
    </row>
    <row r="342" spans="1:10" x14ac:dyDescent="0.25">
      <c r="A342" s="113"/>
      <c r="B342" s="113"/>
      <c r="C342" s="114"/>
      <c r="D342" s="131"/>
      <c r="E342" s="19"/>
      <c r="F342" s="19"/>
      <c r="G342" s="37"/>
      <c r="H342" s="37"/>
      <c r="I342" s="37"/>
      <c r="J342" s="37"/>
    </row>
    <row r="343" spans="1:10" x14ac:dyDescent="0.25">
      <c r="A343" s="113"/>
      <c r="B343" s="113"/>
      <c r="C343" s="114"/>
      <c r="D343" s="131"/>
      <c r="E343" s="19"/>
      <c r="F343" s="19"/>
      <c r="G343" s="37"/>
      <c r="H343" s="37"/>
      <c r="I343" s="37"/>
      <c r="J343" s="37"/>
    </row>
    <row r="344" spans="1:10" x14ac:dyDescent="0.25">
      <c r="A344" s="113"/>
      <c r="B344" s="113"/>
      <c r="C344" s="114"/>
      <c r="D344" s="131"/>
      <c r="E344" s="19"/>
      <c r="F344" s="19"/>
      <c r="G344" s="37"/>
      <c r="H344" s="37"/>
      <c r="I344" s="37"/>
      <c r="J344" s="37"/>
    </row>
    <row r="345" spans="1:10" x14ac:dyDescent="0.25">
      <c r="A345" s="113"/>
      <c r="B345" s="113"/>
      <c r="C345" s="114"/>
      <c r="D345" s="131"/>
      <c r="E345" s="19"/>
      <c r="F345" s="19"/>
      <c r="G345" s="37"/>
      <c r="H345" s="37"/>
      <c r="I345" s="37"/>
      <c r="J345" s="37"/>
    </row>
    <row r="346" spans="1:10" x14ac:dyDescent="0.25">
      <c r="A346" s="113"/>
      <c r="B346" s="113"/>
      <c r="C346" s="114"/>
      <c r="D346" s="131"/>
      <c r="E346" s="19"/>
      <c r="F346" s="19"/>
      <c r="G346" s="37"/>
      <c r="H346" s="37"/>
      <c r="I346" s="37"/>
      <c r="J346" s="37"/>
    </row>
    <row r="347" spans="1:10" x14ac:dyDescent="0.25">
      <c r="A347" s="113"/>
      <c r="B347" s="113"/>
      <c r="C347" s="114"/>
      <c r="D347" s="131"/>
      <c r="E347" s="19"/>
      <c r="F347" s="19"/>
      <c r="G347" s="37"/>
      <c r="H347" s="37"/>
      <c r="I347" s="37"/>
      <c r="J347" s="37"/>
    </row>
    <row r="348" spans="1:10" x14ac:dyDescent="0.25">
      <c r="A348" s="113"/>
      <c r="B348" s="113"/>
      <c r="C348" s="114"/>
      <c r="D348" s="131"/>
      <c r="E348" s="19"/>
      <c r="F348" s="19"/>
      <c r="G348" s="37"/>
      <c r="H348" s="37"/>
      <c r="I348" s="37"/>
      <c r="J348" s="37"/>
    </row>
    <row r="349" spans="1:10" x14ac:dyDescent="0.25">
      <c r="A349" s="113"/>
      <c r="B349" s="113"/>
      <c r="C349" s="114"/>
      <c r="D349" s="131"/>
      <c r="E349" s="19"/>
      <c r="F349" s="19"/>
      <c r="G349" s="37"/>
      <c r="H349" s="37"/>
      <c r="I349" s="37"/>
      <c r="J349" s="37"/>
    </row>
    <row r="350" spans="1:10" x14ac:dyDescent="0.25">
      <c r="A350" s="113"/>
      <c r="B350" s="113"/>
      <c r="C350" s="114"/>
      <c r="D350" s="131"/>
      <c r="E350" s="19"/>
      <c r="F350" s="19"/>
      <c r="G350" s="37"/>
      <c r="H350" s="37"/>
      <c r="I350" s="37"/>
      <c r="J350" s="37"/>
    </row>
    <row r="351" spans="1:10" x14ac:dyDescent="0.25">
      <c r="A351" s="113"/>
      <c r="B351" s="113"/>
      <c r="C351" s="114"/>
      <c r="D351" s="131"/>
      <c r="E351" s="19"/>
      <c r="F351" s="19"/>
      <c r="G351" s="37"/>
      <c r="H351" s="37"/>
      <c r="I351" s="37"/>
      <c r="J351" s="37"/>
    </row>
    <row r="352" spans="1:10" x14ac:dyDescent="0.25">
      <c r="A352" s="113"/>
      <c r="B352" s="113"/>
      <c r="C352" s="114"/>
      <c r="D352" s="131"/>
      <c r="E352" s="19"/>
      <c r="F352" s="19"/>
      <c r="G352" s="37"/>
      <c r="H352" s="37"/>
      <c r="I352" s="37"/>
      <c r="J352" s="37"/>
    </row>
    <row r="353" spans="1:10" x14ac:dyDescent="0.25">
      <c r="A353" s="113"/>
      <c r="B353" s="113"/>
      <c r="C353" s="114"/>
      <c r="D353" s="131"/>
      <c r="E353" s="19"/>
      <c r="F353" s="19"/>
      <c r="G353" s="37"/>
      <c r="H353" s="37"/>
      <c r="I353" s="37"/>
      <c r="J353" s="37"/>
    </row>
    <row r="354" spans="1:10" x14ac:dyDescent="0.25">
      <c r="A354" s="113"/>
      <c r="B354" s="113"/>
      <c r="C354" s="114"/>
      <c r="D354" s="131"/>
      <c r="E354" s="19"/>
      <c r="F354" s="19"/>
      <c r="G354" s="37"/>
      <c r="H354" s="37"/>
      <c r="I354" s="37"/>
      <c r="J354" s="37"/>
    </row>
    <row r="355" spans="1:10" x14ac:dyDescent="0.25">
      <c r="A355" s="113"/>
      <c r="B355" s="113"/>
      <c r="C355" s="114"/>
      <c r="D355" s="131"/>
      <c r="E355" s="19"/>
      <c r="F355" s="19"/>
      <c r="G355" s="37"/>
      <c r="H355" s="37"/>
      <c r="I355" s="37"/>
      <c r="J355" s="37"/>
    </row>
    <row r="356" spans="1:10" x14ac:dyDescent="0.25">
      <c r="A356" s="113"/>
      <c r="B356" s="113"/>
      <c r="C356" s="114"/>
      <c r="D356" s="131"/>
      <c r="E356" s="19"/>
      <c r="F356" s="19"/>
      <c r="G356" s="37"/>
      <c r="H356" s="37"/>
      <c r="I356" s="37"/>
      <c r="J356" s="37"/>
    </row>
    <row r="357" spans="1:10" x14ac:dyDescent="0.25">
      <c r="A357" s="113"/>
      <c r="B357" s="113"/>
      <c r="C357" s="114"/>
      <c r="D357" s="131"/>
      <c r="E357" s="19"/>
      <c r="F357" s="19"/>
      <c r="G357" s="37"/>
      <c r="H357" s="37"/>
      <c r="I357" s="37"/>
      <c r="J357" s="37"/>
    </row>
    <row r="358" spans="1:10" x14ac:dyDescent="0.25">
      <c r="A358" s="113"/>
      <c r="B358" s="113"/>
      <c r="C358" s="114"/>
      <c r="D358" s="131"/>
      <c r="E358" s="19"/>
      <c r="F358" s="19"/>
      <c r="G358" s="37"/>
      <c r="H358" s="37"/>
      <c r="I358" s="37"/>
      <c r="J358" s="37"/>
    </row>
    <row r="359" spans="1:10" x14ac:dyDescent="0.25">
      <c r="A359" s="113"/>
      <c r="B359" s="113"/>
      <c r="C359" s="114"/>
      <c r="D359" s="131"/>
      <c r="E359" s="19"/>
      <c r="F359" s="19"/>
      <c r="G359" s="37"/>
      <c r="H359" s="37"/>
      <c r="I359" s="37"/>
      <c r="J359" s="37"/>
    </row>
    <row r="360" spans="1:10" x14ac:dyDescent="0.25">
      <c r="A360" s="113"/>
      <c r="B360" s="113"/>
      <c r="C360" s="114"/>
      <c r="D360" s="131"/>
      <c r="E360" s="19"/>
      <c r="F360" s="19"/>
      <c r="G360" s="37"/>
      <c r="H360" s="37"/>
      <c r="I360" s="37"/>
      <c r="J360" s="37"/>
    </row>
    <row r="361" spans="1:10" x14ac:dyDescent="0.25">
      <c r="A361" s="113"/>
      <c r="B361" s="113"/>
      <c r="C361" s="114"/>
      <c r="D361" s="131"/>
      <c r="E361" s="19"/>
      <c r="F361" s="19"/>
      <c r="G361" s="37"/>
      <c r="H361" s="37"/>
      <c r="I361" s="37"/>
      <c r="J361" s="37"/>
    </row>
    <row r="362" spans="1:10" x14ac:dyDescent="0.25">
      <c r="A362" s="113"/>
      <c r="B362" s="113"/>
      <c r="C362" s="114"/>
      <c r="D362" s="131"/>
      <c r="E362" s="19"/>
      <c r="F362" s="19"/>
      <c r="G362" s="37"/>
      <c r="H362" s="37"/>
      <c r="I362" s="37"/>
      <c r="J362" s="37"/>
    </row>
    <row r="363" spans="1:10" x14ac:dyDescent="0.25">
      <c r="A363" s="113"/>
      <c r="B363" s="113"/>
      <c r="C363" s="114"/>
      <c r="D363" s="131"/>
      <c r="E363" s="19"/>
      <c r="F363" s="19"/>
      <c r="G363" s="37"/>
      <c r="H363" s="37"/>
      <c r="I363" s="37"/>
      <c r="J363" s="37"/>
    </row>
    <row r="364" spans="1:10" x14ac:dyDescent="0.25">
      <c r="A364" s="113"/>
      <c r="B364" s="113"/>
      <c r="C364" s="114"/>
      <c r="D364" s="131"/>
      <c r="E364" s="19"/>
      <c r="F364" s="19"/>
      <c r="G364" s="37"/>
      <c r="H364" s="37"/>
      <c r="I364" s="37"/>
      <c r="J364" s="37"/>
    </row>
    <row r="365" spans="1:10" x14ac:dyDescent="0.25">
      <c r="A365" s="113"/>
      <c r="B365" s="113"/>
      <c r="C365" s="114"/>
      <c r="D365" s="131"/>
      <c r="E365" s="19"/>
      <c r="F365" s="19"/>
      <c r="G365" s="37"/>
      <c r="H365" s="37"/>
      <c r="I365" s="37"/>
      <c r="J365" s="37"/>
    </row>
    <row r="366" spans="1:10" x14ac:dyDescent="0.25">
      <c r="A366" s="113"/>
      <c r="B366" s="113"/>
      <c r="C366" s="114"/>
      <c r="D366" s="131"/>
      <c r="E366" s="19"/>
      <c r="F366" s="19"/>
      <c r="G366" s="37"/>
      <c r="H366" s="37"/>
      <c r="I366" s="37"/>
      <c r="J366" s="37"/>
    </row>
    <row r="367" spans="1:10" x14ac:dyDescent="0.25">
      <c r="A367" s="113"/>
      <c r="B367" s="113"/>
      <c r="C367" s="114"/>
      <c r="D367" s="131"/>
      <c r="E367" s="19"/>
      <c r="F367" s="19"/>
      <c r="G367" s="37"/>
      <c r="H367" s="37"/>
      <c r="I367" s="37"/>
      <c r="J367" s="37"/>
    </row>
    <row r="368" spans="1:10" x14ac:dyDescent="0.25">
      <c r="A368" s="113"/>
      <c r="B368" s="113"/>
      <c r="C368" s="114"/>
      <c r="D368" s="131"/>
      <c r="E368" s="19"/>
      <c r="F368" s="19"/>
      <c r="G368" s="37"/>
      <c r="H368" s="37"/>
      <c r="I368" s="37"/>
      <c r="J368" s="37"/>
    </row>
    <row r="369" spans="1:10" x14ac:dyDescent="0.25">
      <c r="A369" s="113"/>
      <c r="B369" s="113"/>
      <c r="C369" s="114"/>
      <c r="D369" s="131"/>
      <c r="E369" s="19"/>
      <c r="F369" s="19"/>
      <c r="G369" s="37"/>
      <c r="H369" s="37"/>
      <c r="I369" s="37"/>
      <c r="J369" s="37"/>
    </row>
    <row r="370" spans="1:10" x14ac:dyDescent="0.25">
      <c r="A370" s="113"/>
      <c r="B370" s="113"/>
      <c r="C370" s="114"/>
      <c r="D370" s="131"/>
      <c r="E370" s="19"/>
      <c r="F370" s="19"/>
      <c r="G370" s="37"/>
      <c r="H370" s="37"/>
      <c r="I370" s="37"/>
      <c r="J370" s="37"/>
    </row>
    <row r="371" spans="1:10" x14ac:dyDescent="0.25">
      <c r="A371" s="113"/>
      <c r="B371" s="113"/>
      <c r="C371" s="114"/>
      <c r="D371" s="131"/>
      <c r="E371" s="19"/>
      <c r="F371" s="19"/>
      <c r="G371" s="37"/>
      <c r="H371" s="37"/>
      <c r="I371" s="37"/>
      <c r="J371" s="37"/>
    </row>
    <row r="372" spans="1:10" x14ac:dyDescent="0.25">
      <c r="A372" s="113"/>
      <c r="B372" s="113"/>
      <c r="C372" s="114"/>
      <c r="D372" s="131"/>
      <c r="E372" s="19"/>
      <c r="F372" s="19"/>
      <c r="G372" s="37"/>
      <c r="H372" s="37"/>
      <c r="I372" s="37"/>
      <c r="J372" s="37"/>
    </row>
    <row r="373" spans="1:10" x14ac:dyDescent="0.25">
      <c r="A373" s="113"/>
      <c r="B373" s="113"/>
      <c r="C373" s="114"/>
      <c r="D373" s="131"/>
      <c r="E373" s="19"/>
      <c r="F373" s="19"/>
      <c r="G373" s="37"/>
      <c r="H373" s="37"/>
      <c r="I373" s="37"/>
      <c r="J373" s="37"/>
    </row>
    <row r="374" spans="1:10" x14ac:dyDescent="0.25">
      <c r="A374" s="113"/>
      <c r="B374" s="113"/>
      <c r="C374" s="114"/>
      <c r="D374" s="131"/>
      <c r="E374" s="19"/>
      <c r="F374" s="19"/>
      <c r="G374" s="37"/>
      <c r="H374" s="37"/>
      <c r="I374" s="37"/>
      <c r="J374" s="37"/>
    </row>
    <row r="375" spans="1:10" x14ac:dyDescent="0.25">
      <c r="A375" s="113"/>
      <c r="B375" s="113"/>
      <c r="C375" s="114"/>
      <c r="D375" s="131"/>
      <c r="E375" s="19"/>
      <c r="F375" s="19"/>
      <c r="G375" s="37"/>
      <c r="H375" s="37"/>
      <c r="I375" s="37"/>
      <c r="J375" s="37"/>
    </row>
    <row r="376" spans="1:10" x14ac:dyDescent="0.25">
      <c r="A376" s="113"/>
      <c r="B376" s="113"/>
      <c r="C376" s="114"/>
      <c r="D376" s="131"/>
      <c r="E376" s="19"/>
      <c r="F376" s="19"/>
      <c r="G376" s="37"/>
      <c r="H376" s="37"/>
      <c r="I376" s="37"/>
      <c r="J376" s="37"/>
    </row>
    <row r="377" spans="1:10" x14ac:dyDescent="0.25">
      <c r="A377" s="113"/>
      <c r="B377" s="113"/>
      <c r="C377" s="114"/>
      <c r="D377" s="131"/>
      <c r="E377" s="19"/>
      <c r="F377" s="19"/>
      <c r="G377" s="37"/>
      <c r="H377" s="37"/>
      <c r="I377" s="37"/>
      <c r="J377" s="37"/>
    </row>
    <row r="378" spans="1:10" x14ac:dyDescent="0.25">
      <c r="A378" s="113"/>
      <c r="B378" s="113"/>
      <c r="C378" s="114"/>
      <c r="D378" s="131"/>
      <c r="E378" s="19"/>
      <c r="F378" s="19"/>
      <c r="G378" s="37"/>
      <c r="H378" s="37"/>
      <c r="I378" s="37"/>
      <c r="J378" s="37"/>
    </row>
    <row r="379" spans="1:10" x14ac:dyDescent="0.25">
      <c r="A379" s="113"/>
      <c r="B379" s="113"/>
      <c r="C379" s="114"/>
      <c r="D379" s="131"/>
      <c r="E379" s="19"/>
      <c r="F379" s="19"/>
      <c r="G379" s="37"/>
      <c r="H379" s="37"/>
      <c r="I379" s="37"/>
      <c r="J379" s="37"/>
    </row>
    <row r="380" spans="1:10" x14ac:dyDescent="0.25">
      <c r="A380" s="113"/>
      <c r="B380" s="113"/>
      <c r="C380" s="114"/>
      <c r="D380" s="131"/>
      <c r="E380" s="19"/>
      <c r="F380" s="19"/>
      <c r="G380" s="37"/>
      <c r="H380" s="37"/>
      <c r="I380" s="37"/>
      <c r="J380" s="37"/>
    </row>
    <row r="381" spans="1:10" x14ac:dyDescent="0.25">
      <c r="A381" s="113"/>
      <c r="B381" s="113"/>
      <c r="C381" s="114"/>
      <c r="D381" s="131"/>
      <c r="E381" s="19"/>
      <c r="F381" s="19"/>
      <c r="G381" s="37"/>
      <c r="H381" s="37"/>
      <c r="I381" s="37"/>
      <c r="J381" s="37"/>
    </row>
    <row r="382" spans="1:10" x14ac:dyDescent="0.25">
      <c r="A382" s="113"/>
      <c r="B382" s="113"/>
      <c r="C382" s="114"/>
      <c r="D382" s="131"/>
      <c r="E382" s="19"/>
      <c r="F382" s="19"/>
      <c r="G382" s="37"/>
      <c r="H382" s="37"/>
      <c r="I382" s="37"/>
      <c r="J382" s="37"/>
    </row>
    <row r="383" spans="1:10" x14ac:dyDescent="0.25">
      <c r="A383" s="113"/>
      <c r="B383" s="113"/>
      <c r="C383" s="114"/>
      <c r="D383" s="131"/>
      <c r="E383" s="19"/>
      <c r="F383" s="19"/>
      <c r="G383" s="37"/>
      <c r="H383" s="37"/>
      <c r="I383" s="37"/>
      <c r="J383" s="37"/>
    </row>
    <row r="384" spans="1:10" x14ac:dyDescent="0.25">
      <c r="A384" s="113"/>
      <c r="B384" s="113"/>
      <c r="C384" s="114"/>
      <c r="D384" s="131"/>
      <c r="E384" s="19"/>
      <c r="F384" s="19"/>
      <c r="G384" s="37"/>
      <c r="H384" s="37"/>
      <c r="I384" s="37"/>
      <c r="J384" s="37"/>
    </row>
    <row r="385" spans="1:10" x14ac:dyDescent="0.25">
      <c r="A385" s="113"/>
      <c r="B385" s="113"/>
      <c r="C385" s="114"/>
      <c r="D385" s="131"/>
      <c r="E385" s="19"/>
      <c r="F385" s="19"/>
      <c r="G385" s="37"/>
      <c r="H385" s="37"/>
      <c r="I385" s="37"/>
      <c r="J385" s="37"/>
    </row>
    <row r="386" spans="1:10" x14ac:dyDescent="0.25">
      <c r="A386" s="113"/>
      <c r="B386" s="113"/>
      <c r="C386" s="114"/>
      <c r="D386" s="131"/>
      <c r="E386" s="19"/>
      <c r="F386" s="19"/>
      <c r="G386" s="37"/>
      <c r="H386" s="37"/>
      <c r="I386" s="37"/>
      <c r="J386" s="37"/>
    </row>
    <row r="387" spans="1:10" x14ac:dyDescent="0.25">
      <c r="A387" s="113"/>
      <c r="B387" s="113"/>
      <c r="C387" s="114"/>
      <c r="D387" s="131"/>
      <c r="E387" s="19"/>
      <c r="F387" s="19"/>
      <c r="G387" s="37"/>
      <c r="H387" s="37"/>
      <c r="I387" s="37"/>
      <c r="J387" s="37"/>
    </row>
    <row r="388" spans="1:10" x14ac:dyDescent="0.25">
      <c r="A388" s="113"/>
      <c r="B388" s="113"/>
      <c r="C388" s="114"/>
      <c r="D388" s="131"/>
      <c r="E388" s="19"/>
      <c r="F388" s="19"/>
      <c r="G388" s="37"/>
      <c r="H388" s="37"/>
      <c r="I388" s="37"/>
      <c r="J388" s="37"/>
    </row>
    <row r="389" spans="1:10" x14ac:dyDescent="0.25">
      <c r="A389" s="113"/>
      <c r="B389" s="113"/>
      <c r="C389" s="114"/>
      <c r="D389" s="131"/>
      <c r="E389" s="19"/>
      <c r="F389" s="19"/>
      <c r="G389" s="37"/>
      <c r="H389" s="37"/>
      <c r="I389" s="37"/>
      <c r="J389" s="37"/>
    </row>
    <row r="390" spans="1:10" x14ac:dyDescent="0.25">
      <c r="A390" s="113"/>
      <c r="B390" s="113"/>
      <c r="C390" s="114"/>
      <c r="D390" s="131"/>
      <c r="E390" s="19"/>
      <c r="F390" s="19"/>
      <c r="G390" s="37"/>
      <c r="H390" s="37"/>
      <c r="I390" s="37"/>
      <c r="J390" s="37"/>
    </row>
    <row r="391" spans="1:10" x14ac:dyDescent="0.25">
      <c r="A391" s="113"/>
      <c r="B391" s="113"/>
      <c r="C391" s="114"/>
      <c r="D391" s="131"/>
      <c r="E391" s="19"/>
      <c r="F391" s="19"/>
      <c r="G391" s="37"/>
      <c r="H391" s="37"/>
      <c r="I391" s="37"/>
      <c r="J391" s="37"/>
    </row>
    <row r="392" spans="1:10" x14ac:dyDescent="0.25">
      <c r="A392" s="113"/>
      <c r="B392" s="113"/>
      <c r="C392" s="114"/>
      <c r="D392" s="131"/>
      <c r="E392" s="19"/>
      <c r="F392" s="19"/>
      <c r="G392" s="37"/>
      <c r="H392" s="37"/>
      <c r="I392" s="37"/>
      <c r="J392" s="37"/>
    </row>
    <row r="393" spans="1:10" x14ac:dyDescent="0.25">
      <c r="A393" s="113"/>
      <c r="B393" s="113"/>
      <c r="C393" s="114"/>
      <c r="D393" s="131"/>
      <c r="E393" s="19"/>
      <c r="F393" s="19"/>
      <c r="G393" s="37"/>
      <c r="H393" s="37"/>
      <c r="I393" s="37"/>
      <c r="J393" s="37"/>
    </row>
    <row r="394" spans="1:10" x14ac:dyDescent="0.25">
      <c r="A394" s="113"/>
      <c r="B394" s="113"/>
      <c r="C394" s="114"/>
      <c r="D394" s="131"/>
      <c r="E394" s="19"/>
      <c r="F394" s="19"/>
      <c r="G394" s="37"/>
      <c r="H394" s="37"/>
      <c r="I394" s="37"/>
      <c r="J394" s="37"/>
    </row>
    <row r="395" spans="1:10" x14ac:dyDescent="0.25">
      <c r="A395" s="113"/>
      <c r="B395" s="113"/>
      <c r="C395" s="114"/>
      <c r="D395" s="131"/>
      <c r="E395" s="19"/>
      <c r="F395" s="19"/>
      <c r="G395" s="37"/>
      <c r="H395" s="37"/>
      <c r="I395" s="37"/>
      <c r="J395" s="37"/>
    </row>
    <row r="396" spans="1:10" x14ac:dyDescent="0.25">
      <c r="A396" s="113"/>
      <c r="B396" s="113"/>
      <c r="C396" s="114"/>
      <c r="D396" s="131"/>
      <c r="E396" s="19"/>
      <c r="F396" s="19"/>
      <c r="G396" s="37"/>
      <c r="H396" s="37"/>
      <c r="I396" s="37"/>
      <c r="J396" s="37"/>
    </row>
    <row r="397" spans="1:10" x14ac:dyDescent="0.25">
      <c r="A397" s="113"/>
      <c r="B397" s="113"/>
      <c r="C397" s="114"/>
      <c r="D397" s="131"/>
      <c r="E397" s="19"/>
      <c r="F397" s="19"/>
      <c r="G397" s="37"/>
      <c r="H397" s="37"/>
      <c r="I397" s="37"/>
      <c r="J397" s="37"/>
    </row>
    <row r="398" spans="1:10" x14ac:dyDescent="0.25">
      <c r="A398" s="113"/>
      <c r="B398" s="113"/>
      <c r="C398" s="114"/>
      <c r="D398" s="131"/>
      <c r="E398" s="19"/>
      <c r="F398" s="19"/>
      <c r="G398" s="37"/>
      <c r="H398" s="37"/>
      <c r="I398" s="37"/>
      <c r="J398" s="37"/>
    </row>
    <row r="399" spans="1:10" x14ac:dyDescent="0.25">
      <c r="A399" s="113"/>
      <c r="B399" s="113"/>
      <c r="C399" s="114"/>
      <c r="D399" s="131"/>
      <c r="E399" s="19"/>
      <c r="F399" s="19"/>
      <c r="G399" s="37"/>
      <c r="H399" s="37"/>
      <c r="I399" s="37"/>
      <c r="J399" s="37"/>
    </row>
    <row r="400" spans="1:10" x14ac:dyDescent="0.25">
      <c r="A400" s="113"/>
      <c r="B400" s="113"/>
      <c r="C400" s="114"/>
      <c r="D400" s="131"/>
      <c r="E400" s="19"/>
      <c r="F400" s="19"/>
      <c r="G400" s="37"/>
      <c r="H400" s="37"/>
      <c r="I400" s="37"/>
      <c r="J400" s="37"/>
    </row>
    <row r="401" spans="1:10" x14ac:dyDescent="0.25">
      <c r="A401" s="113"/>
      <c r="B401" s="113"/>
      <c r="C401" s="114"/>
      <c r="D401" s="131"/>
      <c r="E401" s="19"/>
      <c r="F401" s="19"/>
      <c r="G401" s="37"/>
      <c r="H401" s="37"/>
      <c r="I401" s="37"/>
      <c r="J401" s="37"/>
    </row>
    <row r="402" spans="1:10" x14ac:dyDescent="0.25">
      <c r="A402" s="113"/>
      <c r="B402" s="113"/>
      <c r="C402" s="114"/>
      <c r="D402" s="131"/>
      <c r="E402" s="19"/>
      <c r="F402" s="19"/>
      <c r="G402" s="37"/>
      <c r="H402" s="37"/>
      <c r="I402" s="37"/>
      <c r="J402" s="37"/>
    </row>
    <row r="403" spans="1:10" x14ac:dyDescent="0.25">
      <c r="A403" s="113"/>
      <c r="B403" s="113"/>
      <c r="C403" s="114"/>
      <c r="D403" s="131"/>
      <c r="E403" s="19"/>
      <c r="F403" s="19"/>
      <c r="G403" s="37"/>
      <c r="H403" s="37"/>
      <c r="I403" s="37"/>
      <c r="J403" s="37"/>
    </row>
    <row r="404" spans="1:10" x14ac:dyDescent="0.25">
      <c r="A404" s="113"/>
      <c r="B404" s="113"/>
      <c r="C404" s="114"/>
      <c r="D404" s="131"/>
      <c r="E404" s="19"/>
      <c r="F404" s="19"/>
      <c r="G404" s="37"/>
      <c r="H404" s="37"/>
      <c r="I404" s="37"/>
      <c r="J404" s="37"/>
    </row>
    <row r="405" spans="1:10" x14ac:dyDescent="0.25">
      <c r="A405" s="113"/>
      <c r="B405" s="113"/>
      <c r="C405" s="114"/>
      <c r="D405" s="131"/>
      <c r="E405" s="19"/>
      <c r="F405" s="19"/>
      <c r="G405" s="37"/>
      <c r="H405" s="37"/>
      <c r="I405" s="37"/>
      <c r="J405" s="37"/>
    </row>
    <row r="406" spans="1:10" x14ac:dyDescent="0.25">
      <c r="A406" s="113"/>
      <c r="B406" s="113"/>
      <c r="C406" s="114"/>
      <c r="D406" s="131"/>
      <c r="E406" s="19"/>
      <c r="F406" s="19"/>
      <c r="G406" s="37"/>
      <c r="H406" s="37"/>
      <c r="I406" s="37"/>
      <c r="J406" s="37"/>
    </row>
    <row r="407" spans="1:10" x14ac:dyDescent="0.25">
      <c r="A407" s="113"/>
      <c r="B407" s="113"/>
      <c r="C407" s="114"/>
      <c r="D407" s="131"/>
      <c r="E407" s="19"/>
      <c r="F407" s="19"/>
      <c r="G407" s="37"/>
      <c r="H407" s="37"/>
      <c r="I407" s="37"/>
      <c r="J407" s="37"/>
    </row>
    <row r="408" spans="1:10" x14ac:dyDescent="0.25">
      <c r="A408" s="113"/>
      <c r="B408" s="113"/>
      <c r="C408" s="114"/>
      <c r="D408" s="131"/>
      <c r="E408" s="19"/>
      <c r="F408" s="19"/>
      <c r="G408" s="37"/>
      <c r="H408" s="37"/>
      <c r="I408" s="37"/>
      <c r="J408" s="37"/>
    </row>
    <row r="409" spans="1:10" x14ac:dyDescent="0.25">
      <c r="A409" s="113"/>
      <c r="B409" s="113"/>
      <c r="C409" s="114"/>
      <c r="D409" s="131"/>
      <c r="E409" s="19"/>
      <c r="F409" s="19"/>
      <c r="G409" s="37"/>
      <c r="H409" s="37"/>
      <c r="I409" s="37"/>
      <c r="J409" s="37"/>
    </row>
    <row r="410" spans="1:10" x14ac:dyDescent="0.25">
      <c r="A410" s="113"/>
      <c r="B410" s="113"/>
      <c r="C410" s="114"/>
      <c r="D410" s="131"/>
      <c r="E410" s="19"/>
      <c r="F410" s="19"/>
      <c r="G410" s="37"/>
      <c r="H410" s="37"/>
      <c r="I410" s="37"/>
      <c r="J410" s="37"/>
    </row>
    <row r="411" spans="1:10" x14ac:dyDescent="0.25">
      <c r="A411" s="113"/>
      <c r="B411" s="113"/>
      <c r="C411" s="114"/>
      <c r="D411" s="131"/>
      <c r="E411" s="19"/>
      <c r="F411" s="19"/>
      <c r="G411" s="37"/>
      <c r="H411" s="37"/>
      <c r="I411" s="37"/>
      <c r="J411" s="37"/>
    </row>
    <row r="412" spans="1:10" x14ac:dyDescent="0.25">
      <c r="A412" s="113"/>
      <c r="B412" s="113"/>
      <c r="C412" s="114"/>
      <c r="D412" s="131"/>
      <c r="E412" s="19"/>
      <c r="F412" s="19"/>
      <c r="G412" s="37"/>
      <c r="H412" s="37"/>
      <c r="I412" s="37"/>
      <c r="J412" s="37"/>
    </row>
    <row r="413" spans="1:10" x14ac:dyDescent="0.25">
      <c r="A413" s="113"/>
      <c r="B413" s="113"/>
      <c r="C413" s="114"/>
      <c r="D413" s="131"/>
      <c r="E413" s="19"/>
      <c r="F413" s="19"/>
      <c r="G413" s="37"/>
      <c r="H413" s="37"/>
      <c r="I413" s="37"/>
      <c r="J413" s="37"/>
    </row>
    <row r="414" spans="1:10" x14ac:dyDescent="0.25">
      <c r="A414" s="113"/>
      <c r="B414" s="113"/>
      <c r="C414" s="114"/>
      <c r="D414" s="131"/>
      <c r="E414" s="19"/>
      <c r="F414" s="19"/>
      <c r="G414" s="37"/>
      <c r="H414" s="37"/>
      <c r="I414" s="37"/>
      <c r="J414" s="37"/>
    </row>
    <row r="415" spans="1:10" x14ac:dyDescent="0.25">
      <c r="A415" s="113"/>
      <c r="B415" s="113"/>
      <c r="C415" s="114"/>
      <c r="D415" s="131"/>
      <c r="E415" s="19"/>
      <c r="F415" s="19"/>
      <c r="G415" s="37"/>
      <c r="H415" s="37"/>
      <c r="I415" s="37"/>
      <c r="J415" s="37"/>
    </row>
    <row r="416" spans="1:10" x14ac:dyDescent="0.25">
      <c r="A416" s="113"/>
      <c r="B416" s="113"/>
      <c r="C416" s="114"/>
      <c r="D416" s="131"/>
      <c r="E416" s="19"/>
      <c r="F416" s="19"/>
      <c r="G416" s="37"/>
      <c r="H416" s="37"/>
      <c r="I416" s="37"/>
      <c r="J416" s="37"/>
    </row>
    <row r="417" spans="1:10" x14ac:dyDescent="0.25">
      <c r="A417" s="113"/>
      <c r="B417" s="113"/>
      <c r="C417" s="114"/>
      <c r="D417" s="131"/>
      <c r="E417" s="19"/>
      <c r="F417" s="19"/>
      <c r="G417" s="37"/>
      <c r="H417" s="37"/>
      <c r="I417" s="37"/>
      <c r="J417" s="37"/>
    </row>
    <row r="418" spans="1:10" x14ac:dyDescent="0.25">
      <c r="A418" s="113"/>
      <c r="B418" s="113"/>
      <c r="C418" s="114"/>
      <c r="D418" s="131"/>
      <c r="E418" s="19"/>
      <c r="F418" s="19"/>
      <c r="G418" s="37"/>
      <c r="H418" s="37"/>
      <c r="I418" s="37"/>
      <c r="J418" s="37"/>
    </row>
    <row r="419" spans="1:10" x14ac:dyDescent="0.25">
      <c r="A419" s="113"/>
      <c r="B419" s="113"/>
      <c r="C419" s="114"/>
      <c r="D419" s="131"/>
      <c r="E419" s="19"/>
      <c r="F419" s="19"/>
      <c r="G419" s="37"/>
      <c r="H419" s="37"/>
      <c r="I419" s="37"/>
      <c r="J419" s="37"/>
    </row>
    <row r="420" spans="1:10" x14ac:dyDescent="0.25">
      <c r="A420" s="113"/>
      <c r="B420" s="113"/>
      <c r="C420" s="114"/>
      <c r="D420" s="131"/>
      <c r="E420" s="19"/>
      <c r="F420" s="19"/>
      <c r="G420" s="37"/>
      <c r="H420" s="37"/>
      <c r="I420" s="37"/>
      <c r="J420" s="37"/>
    </row>
    <row r="421" spans="1:10" x14ac:dyDescent="0.25">
      <c r="A421" s="113"/>
      <c r="B421" s="113"/>
      <c r="C421" s="114"/>
      <c r="D421" s="131"/>
      <c r="E421" s="19"/>
      <c r="F421" s="19"/>
      <c r="G421" s="37"/>
      <c r="H421" s="37"/>
      <c r="I421" s="37"/>
      <c r="J421" s="37"/>
    </row>
    <row r="422" spans="1:10" x14ac:dyDescent="0.25">
      <c r="A422" s="113"/>
      <c r="B422" s="113"/>
      <c r="C422" s="114"/>
      <c r="D422" s="131"/>
      <c r="E422" s="19"/>
      <c r="F422" s="19"/>
      <c r="G422" s="37"/>
      <c r="H422" s="37"/>
      <c r="I422" s="37"/>
      <c r="J422" s="37"/>
    </row>
    <row r="423" spans="1:10" x14ac:dyDescent="0.25">
      <c r="A423" s="113"/>
      <c r="B423" s="113"/>
      <c r="C423" s="114"/>
      <c r="D423" s="131"/>
      <c r="E423" s="19"/>
      <c r="F423" s="19"/>
      <c r="G423" s="37"/>
      <c r="H423" s="37"/>
      <c r="I423" s="37"/>
      <c r="J423" s="37"/>
    </row>
    <row r="424" spans="1:10" x14ac:dyDescent="0.25">
      <c r="A424" s="113"/>
      <c r="B424" s="113"/>
      <c r="C424" s="114"/>
      <c r="D424" s="131"/>
      <c r="E424" s="19"/>
      <c r="F424" s="19"/>
      <c r="G424" s="37"/>
      <c r="H424" s="37"/>
      <c r="I424" s="37"/>
      <c r="J424" s="37"/>
    </row>
    <row r="425" spans="1:10" x14ac:dyDescent="0.25">
      <c r="A425" s="113"/>
      <c r="B425" s="113"/>
      <c r="C425" s="114"/>
      <c r="D425" s="131"/>
      <c r="E425" s="19"/>
      <c r="F425" s="19"/>
      <c r="G425" s="37"/>
      <c r="H425" s="37"/>
      <c r="I425" s="37"/>
      <c r="J425" s="37"/>
    </row>
    <row r="426" spans="1:10" x14ac:dyDescent="0.25">
      <c r="A426" s="113"/>
      <c r="B426" s="113"/>
      <c r="C426" s="114"/>
      <c r="D426" s="131"/>
      <c r="E426" s="19"/>
      <c r="F426" s="19"/>
      <c r="G426" s="37"/>
      <c r="H426" s="37"/>
      <c r="I426" s="37"/>
      <c r="J426" s="37"/>
    </row>
    <row r="427" spans="1:10" x14ac:dyDescent="0.25">
      <c r="A427" s="113"/>
      <c r="B427" s="113"/>
      <c r="C427" s="114"/>
      <c r="D427" s="131"/>
      <c r="E427" s="19"/>
      <c r="F427" s="19"/>
      <c r="G427" s="37"/>
      <c r="H427" s="37"/>
      <c r="I427" s="37"/>
      <c r="J427" s="37"/>
    </row>
    <row r="428" spans="1:10" x14ac:dyDescent="0.25">
      <c r="A428" s="113"/>
      <c r="B428" s="113"/>
      <c r="C428" s="114"/>
      <c r="D428" s="131"/>
      <c r="E428" s="19"/>
      <c r="F428" s="19"/>
      <c r="G428" s="37"/>
      <c r="H428" s="37"/>
      <c r="I428" s="37"/>
      <c r="J428" s="37"/>
    </row>
    <row r="429" spans="1:10" x14ac:dyDescent="0.25">
      <c r="A429" s="113"/>
      <c r="B429" s="113"/>
      <c r="C429" s="114"/>
      <c r="D429" s="131"/>
      <c r="E429" s="19"/>
      <c r="F429" s="19"/>
      <c r="G429" s="37"/>
      <c r="H429" s="37"/>
      <c r="I429" s="37"/>
      <c r="J429" s="37"/>
    </row>
    <row r="430" spans="1:10" x14ac:dyDescent="0.25">
      <c r="A430" s="113"/>
      <c r="B430" s="113"/>
      <c r="C430" s="114"/>
      <c r="D430" s="131"/>
      <c r="E430" s="19"/>
      <c r="F430" s="19"/>
      <c r="G430" s="37"/>
      <c r="H430" s="37"/>
      <c r="I430" s="37"/>
      <c r="J430" s="37"/>
    </row>
    <row r="431" spans="1:10" x14ac:dyDescent="0.25">
      <c r="A431" s="113"/>
      <c r="B431" s="113"/>
      <c r="C431" s="114"/>
      <c r="D431" s="131"/>
      <c r="E431" s="19"/>
      <c r="F431" s="19"/>
      <c r="G431" s="37"/>
      <c r="H431" s="37"/>
      <c r="I431" s="37"/>
      <c r="J431" s="37"/>
    </row>
    <row r="432" spans="1:10" x14ac:dyDescent="0.25">
      <c r="A432" s="113"/>
      <c r="B432" s="113"/>
      <c r="C432" s="114"/>
      <c r="D432" s="131"/>
      <c r="E432" s="19"/>
      <c r="F432" s="19"/>
      <c r="G432" s="37"/>
      <c r="H432" s="37"/>
      <c r="I432" s="37"/>
      <c r="J432" s="37"/>
    </row>
    <row r="433" spans="1:10" x14ac:dyDescent="0.25">
      <c r="A433" s="113"/>
      <c r="B433" s="113"/>
      <c r="C433" s="114"/>
      <c r="D433" s="131"/>
      <c r="E433" s="19"/>
      <c r="F433" s="19"/>
      <c r="G433" s="37"/>
      <c r="H433" s="37"/>
      <c r="I433" s="37"/>
      <c r="J433" s="37"/>
    </row>
    <row r="434" spans="1:10" x14ac:dyDescent="0.25">
      <c r="A434" s="113"/>
      <c r="B434" s="113"/>
      <c r="C434" s="114"/>
      <c r="D434" s="131"/>
      <c r="E434" s="19"/>
      <c r="F434" s="19"/>
      <c r="G434" s="37"/>
      <c r="H434" s="37"/>
      <c r="I434" s="37"/>
      <c r="J434" s="37"/>
    </row>
    <row r="435" spans="1:10" x14ac:dyDescent="0.25">
      <c r="A435" s="113"/>
      <c r="B435" s="113"/>
      <c r="C435" s="114"/>
      <c r="D435" s="131"/>
      <c r="E435" s="19"/>
      <c r="F435" s="19"/>
      <c r="G435" s="37"/>
      <c r="H435" s="37"/>
      <c r="I435" s="37"/>
      <c r="J435" s="37"/>
    </row>
    <row r="436" spans="1:10" x14ac:dyDescent="0.25">
      <c r="A436" s="113"/>
      <c r="B436" s="113"/>
      <c r="C436" s="114"/>
      <c r="D436" s="131"/>
      <c r="E436" s="19"/>
      <c r="F436" s="19"/>
      <c r="G436" s="37"/>
      <c r="H436" s="37"/>
      <c r="I436" s="37"/>
      <c r="J436" s="37"/>
    </row>
    <row r="437" spans="1:10" x14ac:dyDescent="0.25">
      <c r="A437" s="113"/>
      <c r="B437" s="113"/>
      <c r="C437" s="114"/>
      <c r="D437" s="131"/>
      <c r="E437" s="19"/>
      <c r="F437" s="19"/>
      <c r="G437" s="37"/>
      <c r="H437" s="37"/>
      <c r="I437" s="37"/>
      <c r="J437" s="37"/>
    </row>
    <row r="438" spans="1:10" x14ac:dyDescent="0.25">
      <c r="A438" s="113"/>
      <c r="B438" s="113"/>
      <c r="C438" s="114"/>
      <c r="D438" s="131"/>
      <c r="E438" s="19"/>
      <c r="F438" s="19"/>
      <c r="G438" s="37"/>
      <c r="H438" s="37"/>
      <c r="I438" s="37"/>
      <c r="J438" s="37"/>
    </row>
    <row r="439" spans="1:10" x14ac:dyDescent="0.25">
      <c r="A439" s="113"/>
      <c r="B439" s="113"/>
      <c r="C439" s="114"/>
      <c r="D439" s="131"/>
      <c r="E439" s="19"/>
      <c r="F439" s="19"/>
      <c r="G439" s="37"/>
      <c r="H439" s="37"/>
      <c r="I439" s="37"/>
      <c r="J439" s="37"/>
    </row>
    <row r="440" spans="1:10" x14ac:dyDescent="0.25">
      <c r="A440" s="113"/>
      <c r="B440" s="113"/>
      <c r="C440" s="114"/>
      <c r="D440" s="131"/>
      <c r="E440" s="19"/>
      <c r="F440" s="19"/>
      <c r="G440" s="37"/>
      <c r="H440" s="37"/>
      <c r="I440" s="37"/>
      <c r="J440" s="37"/>
    </row>
    <row r="441" spans="1:10" x14ac:dyDescent="0.25">
      <c r="A441" s="113"/>
      <c r="B441" s="113"/>
      <c r="C441" s="114"/>
      <c r="D441" s="131"/>
      <c r="E441" s="19"/>
      <c r="F441" s="19"/>
      <c r="G441" s="37"/>
      <c r="H441" s="37"/>
      <c r="I441" s="37"/>
      <c r="J441" s="37"/>
    </row>
    <row r="442" spans="1:10" x14ac:dyDescent="0.25">
      <c r="A442" s="113"/>
      <c r="B442" s="113"/>
      <c r="C442" s="114"/>
      <c r="D442" s="131"/>
      <c r="E442" s="19"/>
      <c r="F442" s="19"/>
      <c r="G442" s="37"/>
      <c r="H442" s="37"/>
      <c r="I442" s="37"/>
      <c r="J442" s="37"/>
    </row>
    <row r="443" spans="1:10" x14ac:dyDescent="0.25">
      <c r="A443" s="113"/>
      <c r="B443" s="113"/>
      <c r="C443" s="114"/>
      <c r="D443" s="131"/>
      <c r="E443" s="19"/>
      <c r="F443" s="19"/>
      <c r="G443" s="37"/>
      <c r="H443" s="37"/>
      <c r="I443" s="37"/>
      <c r="J443" s="37"/>
    </row>
    <row r="444" spans="1:10" x14ac:dyDescent="0.25">
      <c r="A444" s="113"/>
      <c r="B444" s="113"/>
      <c r="C444" s="114"/>
      <c r="D444" s="131"/>
      <c r="E444" s="19"/>
      <c r="F444" s="19"/>
      <c r="G444" s="37"/>
      <c r="H444" s="37"/>
      <c r="I444" s="37"/>
      <c r="J444" s="37"/>
    </row>
    <row r="445" spans="1:10" x14ac:dyDescent="0.25">
      <c r="A445" s="113"/>
      <c r="B445" s="113"/>
      <c r="C445" s="114"/>
      <c r="D445" s="131"/>
      <c r="E445" s="19"/>
      <c r="F445" s="19"/>
      <c r="G445" s="37"/>
      <c r="H445" s="37"/>
      <c r="I445" s="37"/>
      <c r="J445" s="37"/>
    </row>
    <row r="446" spans="1:10" x14ac:dyDescent="0.25">
      <c r="A446" s="113"/>
      <c r="B446" s="113"/>
      <c r="C446" s="114"/>
      <c r="D446" s="131"/>
      <c r="E446" s="19"/>
      <c r="F446" s="19"/>
      <c r="G446" s="37"/>
      <c r="H446" s="37"/>
      <c r="I446" s="37"/>
      <c r="J446" s="37"/>
    </row>
    <row r="447" spans="1:10" x14ac:dyDescent="0.25">
      <c r="A447" s="113"/>
      <c r="B447" s="113"/>
      <c r="C447" s="114"/>
      <c r="D447" s="131"/>
      <c r="E447" s="19"/>
      <c r="F447" s="19"/>
      <c r="G447" s="37"/>
      <c r="H447" s="37"/>
      <c r="I447" s="37"/>
      <c r="J447" s="37"/>
    </row>
    <row r="448" spans="1:10" x14ac:dyDescent="0.25">
      <c r="A448" s="113"/>
      <c r="B448" s="113"/>
      <c r="C448" s="114"/>
      <c r="D448" s="131"/>
      <c r="E448" s="19"/>
      <c r="F448" s="19"/>
      <c r="G448" s="37"/>
      <c r="H448" s="37"/>
      <c r="I448" s="37"/>
      <c r="J448" s="37"/>
    </row>
    <row r="449" spans="1:10" x14ac:dyDescent="0.25">
      <c r="A449" s="113"/>
      <c r="B449" s="113"/>
      <c r="C449" s="114"/>
      <c r="D449" s="131"/>
      <c r="E449" s="19"/>
      <c r="F449" s="19"/>
      <c r="G449" s="37"/>
      <c r="H449" s="37"/>
      <c r="I449" s="37"/>
      <c r="J449" s="37"/>
    </row>
    <row r="450" spans="1:10" x14ac:dyDescent="0.25">
      <c r="A450" s="113"/>
      <c r="B450" s="113"/>
      <c r="C450" s="114"/>
      <c r="D450" s="131"/>
      <c r="E450" s="19"/>
      <c r="F450" s="19"/>
      <c r="G450" s="37"/>
      <c r="H450" s="37"/>
      <c r="I450" s="37"/>
      <c r="J450" s="37"/>
    </row>
    <row r="451" spans="1:10" x14ac:dyDescent="0.25">
      <c r="A451" s="113"/>
      <c r="B451" s="113"/>
      <c r="C451" s="114"/>
      <c r="D451" s="131"/>
      <c r="E451" s="19"/>
      <c r="F451" s="19"/>
      <c r="G451" s="37"/>
      <c r="H451" s="37"/>
      <c r="I451" s="37"/>
      <c r="J451" s="37"/>
    </row>
    <row r="452" spans="1:10" x14ac:dyDescent="0.25">
      <c r="A452" s="113"/>
      <c r="B452" s="113"/>
      <c r="C452" s="114"/>
      <c r="D452" s="131"/>
      <c r="E452" s="19"/>
      <c r="F452" s="19"/>
      <c r="G452" s="37"/>
      <c r="H452" s="37"/>
      <c r="I452" s="37"/>
      <c r="J452" s="37"/>
    </row>
    <row r="453" spans="1:10" x14ac:dyDescent="0.25">
      <c r="A453" s="113"/>
      <c r="B453" s="113"/>
      <c r="C453" s="114"/>
      <c r="D453" s="131"/>
      <c r="E453" s="19"/>
      <c r="F453" s="19"/>
      <c r="G453" s="37"/>
      <c r="H453" s="37"/>
      <c r="I453" s="37"/>
      <c r="J453" s="37"/>
    </row>
    <row r="454" spans="1:10" x14ac:dyDescent="0.25">
      <c r="A454" s="113"/>
      <c r="B454" s="113"/>
      <c r="C454" s="114"/>
      <c r="D454" s="131"/>
      <c r="E454" s="19"/>
      <c r="F454" s="19"/>
      <c r="G454" s="37"/>
      <c r="H454" s="37"/>
      <c r="I454" s="37"/>
      <c r="J454" s="37"/>
    </row>
    <row r="455" spans="1:10" x14ac:dyDescent="0.25">
      <c r="A455" s="113"/>
      <c r="B455" s="113"/>
      <c r="C455" s="114"/>
      <c r="D455" s="131"/>
      <c r="E455" s="19"/>
      <c r="F455" s="19"/>
      <c r="G455" s="37"/>
      <c r="H455" s="37"/>
      <c r="I455" s="37"/>
      <c r="J455" s="37"/>
    </row>
    <row r="456" spans="1:10" x14ac:dyDescent="0.25">
      <c r="A456" s="113"/>
      <c r="B456" s="113"/>
      <c r="C456" s="114"/>
      <c r="D456" s="131"/>
      <c r="E456" s="19"/>
      <c r="F456" s="19"/>
      <c r="G456" s="37"/>
      <c r="H456" s="37"/>
      <c r="I456" s="37"/>
      <c r="J456" s="37"/>
    </row>
    <row r="457" spans="1:10" x14ac:dyDescent="0.25">
      <c r="A457" s="113"/>
      <c r="B457" s="113"/>
      <c r="C457" s="114"/>
      <c r="D457" s="131"/>
      <c r="E457" s="19"/>
      <c r="F457" s="19"/>
      <c r="G457" s="37"/>
      <c r="H457" s="37"/>
      <c r="I457" s="37"/>
      <c r="J457" s="37"/>
    </row>
    <row r="458" spans="1:10" x14ac:dyDescent="0.25">
      <c r="A458" s="113"/>
      <c r="B458" s="113"/>
      <c r="C458" s="114"/>
      <c r="D458" s="131"/>
      <c r="E458" s="19"/>
      <c r="F458" s="19"/>
      <c r="G458" s="37"/>
      <c r="H458" s="37"/>
      <c r="I458" s="37"/>
      <c r="J458" s="37"/>
    </row>
    <row r="459" spans="1:10" x14ac:dyDescent="0.25">
      <c r="A459" s="113"/>
      <c r="B459" s="113"/>
      <c r="C459" s="114"/>
      <c r="D459" s="131"/>
      <c r="E459" s="19"/>
      <c r="F459" s="19"/>
      <c r="G459" s="37"/>
      <c r="H459" s="37"/>
      <c r="I459" s="37"/>
      <c r="J459" s="37"/>
    </row>
    <row r="460" spans="1:10" x14ac:dyDescent="0.25">
      <c r="A460" s="113"/>
      <c r="B460" s="113"/>
      <c r="C460" s="114"/>
      <c r="D460" s="131"/>
      <c r="E460" s="19"/>
      <c r="F460" s="19"/>
      <c r="G460" s="37"/>
      <c r="H460" s="37"/>
      <c r="I460" s="37"/>
      <c r="J460" s="37"/>
    </row>
    <row r="461" spans="1:10" x14ac:dyDescent="0.25">
      <c r="A461" s="113"/>
      <c r="B461" s="113"/>
      <c r="C461" s="114"/>
      <c r="D461" s="131"/>
      <c r="E461" s="19"/>
      <c r="F461" s="19"/>
      <c r="G461" s="37"/>
      <c r="H461" s="37"/>
      <c r="I461" s="37"/>
      <c r="J461" s="37"/>
    </row>
    <row r="462" spans="1:10" x14ac:dyDescent="0.25">
      <c r="A462" s="113"/>
      <c r="B462" s="113"/>
      <c r="C462" s="114"/>
      <c r="D462" s="131"/>
      <c r="E462" s="19"/>
      <c r="F462" s="19"/>
      <c r="G462" s="37"/>
      <c r="H462" s="37"/>
      <c r="I462" s="37"/>
      <c r="J462" s="37"/>
    </row>
    <row r="463" spans="1:10" x14ac:dyDescent="0.25">
      <c r="A463" s="113"/>
      <c r="B463" s="113"/>
      <c r="C463" s="114"/>
      <c r="D463" s="131"/>
      <c r="E463" s="19"/>
      <c r="F463" s="19"/>
      <c r="G463" s="37"/>
      <c r="H463" s="37"/>
      <c r="I463" s="37"/>
      <c r="J463" s="37"/>
    </row>
    <row r="464" spans="1:10" x14ac:dyDescent="0.25">
      <c r="A464" s="113"/>
      <c r="B464" s="113"/>
      <c r="C464" s="114"/>
      <c r="D464" s="131"/>
      <c r="E464" s="19"/>
      <c r="F464" s="19"/>
      <c r="G464" s="37"/>
      <c r="H464" s="37"/>
      <c r="I464" s="37"/>
      <c r="J464" s="37"/>
    </row>
    <row r="465" spans="1:10" x14ac:dyDescent="0.25">
      <c r="A465" s="113"/>
      <c r="B465" s="113"/>
      <c r="C465" s="114"/>
      <c r="D465" s="131"/>
      <c r="E465" s="19"/>
      <c r="F465" s="19"/>
      <c r="G465" s="37"/>
      <c r="H465" s="37"/>
      <c r="I465" s="37"/>
      <c r="J465" s="37"/>
    </row>
    <row r="466" spans="1:10" x14ac:dyDescent="0.25">
      <c r="A466" s="113"/>
      <c r="B466" s="113"/>
      <c r="C466" s="114"/>
      <c r="D466" s="131"/>
      <c r="E466" s="19"/>
      <c r="F466" s="19"/>
      <c r="G466" s="37"/>
      <c r="H466" s="37"/>
      <c r="I466" s="37"/>
      <c r="J466" s="37"/>
    </row>
    <row r="467" spans="1:10" x14ac:dyDescent="0.25">
      <c r="A467" s="113"/>
      <c r="B467" s="113"/>
      <c r="C467" s="114"/>
      <c r="D467" s="131"/>
      <c r="E467" s="19"/>
      <c r="F467" s="19"/>
      <c r="G467" s="37"/>
      <c r="H467" s="37"/>
      <c r="I467" s="37"/>
      <c r="J467" s="37"/>
    </row>
    <row r="468" spans="1:10" x14ac:dyDescent="0.25">
      <c r="A468" s="113"/>
      <c r="B468" s="113"/>
      <c r="C468" s="114"/>
      <c r="D468" s="131"/>
      <c r="E468" s="19"/>
      <c r="F468" s="19"/>
      <c r="G468" s="37"/>
      <c r="H468" s="37"/>
      <c r="I468" s="37"/>
      <c r="J468" s="37"/>
    </row>
    <row r="469" spans="1:10" x14ac:dyDescent="0.25">
      <c r="A469" s="113"/>
      <c r="B469" s="113"/>
      <c r="C469" s="114"/>
      <c r="D469" s="131"/>
      <c r="E469" s="19"/>
      <c r="F469" s="19"/>
      <c r="G469" s="37"/>
      <c r="H469" s="37"/>
      <c r="I469" s="37"/>
      <c r="J469" s="37"/>
    </row>
    <row r="470" spans="1:10" x14ac:dyDescent="0.25">
      <c r="A470" s="113"/>
      <c r="B470" s="113"/>
      <c r="C470" s="114"/>
      <c r="D470" s="131"/>
      <c r="E470" s="19"/>
      <c r="F470" s="19"/>
      <c r="G470" s="37"/>
      <c r="H470" s="37"/>
      <c r="I470" s="37"/>
      <c r="J470" s="37"/>
    </row>
    <row r="471" spans="1:10" x14ac:dyDescent="0.25">
      <c r="A471" s="113"/>
      <c r="B471" s="113"/>
      <c r="C471" s="114"/>
      <c r="D471" s="131"/>
      <c r="E471" s="19"/>
      <c r="F471" s="19"/>
      <c r="G471" s="37"/>
      <c r="H471" s="37"/>
      <c r="I471" s="37"/>
      <c r="J471" s="37"/>
    </row>
    <row r="472" spans="1:10" x14ac:dyDescent="0.25">
      <c r="A472" s="113"/>
      <c r="B472" s="113"/>
      <c r="C472" s="114"/>
      <c r="D472" s="131"/>
      <c r="E472" s="19"/>
      <c r="F472" s="19"/>
      <c r="G472" s="37"/>
      <c r="H472" s="37"/>
      <c r="I472" s="37"/>
      <c r="J472" s="37"/>
    </row>
    <row r="473" spans="1:10" x14ac:dyDescent="0.25">
      <c r="A473" s="113"/>
      <c r="B473" s="113"/>
      <c r="C473" s="114"/>
      <c r="D473" s="131"/>
      <c r="E473" s="19"/>
      <c r="F473" s="19"/>
      <c r="G473" s="37"/>
      <c r="H473" s="37"/>
      <c r="I473" s="37"/>
      <c r="J473" s="37"/>
    </row>
    <row r="474" spans="1:10" x14ac:dyDescent="0.25">
      <c r="A474" s="113"/>
      <c r="B474" s="113"/>
      <c r="C474" s="114"/>
      <c r="D474" s="131"/>
      <c r="E474" s="19"/>
      <c r="F474" s="19"/>
      <c r="G474" s="37"/>
      <c r="H474" s="37"/>
      <c r="I474" s="37"/>
      <c r="J474" s="37"/>
    </row>
    <row r="475" spans="1:10" x14ac:dyDescent="0.25">
      <c r="A475" s="113"/>
      <c r="B475" s="113"/>
      <c r="C475" s="114"/>
      <c r="D475" s="131"/>
      <c r="E475" s="19"/>
      <c r="F475" s="19"/>
      <c r="G475" s="37"/>
      <c r="H475" s="37"/>
      <c r="I475" s="37"/>
      <c r="J475" s="37"/>
    </row>
    <row r="476" spans="1:10" x14ac:dyDescent="0.25">
      <c r="A476" s="113"/>
      <c r="B476" s="113"/>
      <c r="C476" s="114"/>
      <c r="D476" s="131"/>
      <c r="E476" s="19"/>
      <c r="F476" s="19"/>
      <c r="G476" s="37"/>
      <c r="H476" s="37"/>
      <c r="I476" s="37"/>
      <c r="J476" s="37"/>
    </row>
    <row r="477" spans="1:10" x14ac:dyDescent="0.25">
      <c r="A477" s="113"/>
      <c r="B477" s="113"/>
      <c r="C477" s="114"/>
      <c r="D477" s="131"/>
      <c r="E477" s="19"/>
      <c r="F477" s="19"/>
      <c r="G477" s="37"/>
      <c r="H477" s="37"/>
      <c r="I477" s="37"/>
      <c r="J477" s="37"/>
    </row>
    <row r="478" spans="1:10" x14ac:dyDescent="0.25">
      <c r="A478" s="113"/>
      <c r="B478" s="113"/>
      <c r="C478" s="114"/>
      <c r="D478" s="131"/>
      <c r="E478" s="19"/>
      <c r="F478" s="19"/>
      <c r="G478" s="37"/>
      <c r="H478" s="37"/>
      <c r="I478" s="37"/>
      <c r="J478" s="37"/>
    </row>
    <row r="479" spans="1:10" x14ac:dyDescent="0.25">
      <c r="A479" s="113"/>
      <c r="B479" s="113"/>
      <c r="C479" s="114"/>
      <c r="D479" s="131"/>
      <c r="E479" s="19"/>
      <c r="F479" s="19"/>
      <c r="G479" s="37"/>
      <c r="H479" s="37"/>
      <c r="I479" s="37"/>
      <c r="J479" s="37"/>
    </row>
    <row r="480" spans="1:10" x14ac:dyDescent="0.25">
      <c r="A480" s="113"/>
      <c r="B480" s="113"/>
      <c r="C480" s="114"/>
      <c r="D480" s="131"/>
      <c r="E480" s="19"/>
      <c r="F480" s="19"/>
      <c r="G480" s="37"/>
      <c r="H480" s="37"/>
      <c r="I480" s="37"/>
      <c r="J480" s="37"/>
    </row>
    <row r="481" spans="1:10" x14ac:dyDescent="0.25">
      <c r="A481" s="113"/>
      <c r="B481" s="113"/>
      <c r="C481" s="114"/>
      <c r="D481" s="131"/>
      <c r="E481" s="19"/>
      <c r="F481" s="19"/>
      <c r="G481" s="37"/>
      <c r="H481" s="37"/>
      <c r="I481" s="37"/>
      <c r="J481" s="37"/>
    </row>
    <row r="482" spans="1:10" x14ac:dyDescent="0.25">
      <c r="A482" s="113"/>
      <c r="B482" s="113"/>
      <c r="C482" s="114"/>
      <c r="D482" s="131"/>
      <c r="E482" s="19"/>
      <c r="F482" s="19"/>
      <c r="G482" s="37"/>
      <c r="H482" s="37"/>
      <c r="I482" s="37"/>
      <c r="J482" s="37"/>
    </row>
    <row r="483" spans="1:10" x14ac:dyDescent="0.25">
      <c r="A483" s="113"/>
      <c r="B483" s="113"/>
      <c r="C483" s="114"/>
      <c r="D483" s="131"/>
      <c r="E483" s="19"/>
      <c r="F483" s="19"/>
      <c r="G483" s="37"/>
      <c r="H483" s="37"/>
      <c r="I483" s="37"/>
      <c r="J483" s="37"/>
    </row>
    <row r="484" spans="1:10" x14ac:dyDescent="0.25">
      <c r="A484" s="113"/>
      <c r="B484" s="113"/>
      <c r="C484" s="114"/>
      <c r="D484" s="131"/>
      <c r="E484" s="19"/>
      <c r="F484" s="19"/>
      <c r="G484" s="37"/>
      <c r="H484" s="37"/>
      <c r="I484" s="37"/>
      <c r="J484" s="37"/>
    </row>
    <row r="485" spans="1:10" x14ac:dyDescent="0.25">
      <c r="A485" s="113"/>
      <c r="B485" s="113"/>
      <c r="C485" s="114"/>
      <c r="D485" s="131"/>
      <c r="E485" s="19"/>
      <c r="F485" s="19"/>
      <c r="G485" s="37"/>
      <c r="H485" s="37"/>
      <c r="I485" s="37"/>
      <c r="J485" s="37"/>
    </row>
    <row r="486" spans="1:10" x14ac:dyDescent="0.25">
      <c r="A486" s="113"/>
      <c r="B486" s="113"/>
      <c r="C486" s="114"/>
      <c r="D486" s="131"/>
      <c r="E486" s="19"/>
      <c r="F486" s="19"/>
      <c r="G486" s="37"/>
      <c r="H486" s="37"/>
      <c r="I486" s="37"/>
      <c r="J486" s="37"/>
    </row>
    <row r="487" spans="1:10" x14ac:dyDescent="0.25">
      <c r="A487" s="113"/>
      <c r="B487" s="113"/>
      <c r="C487" s="114"/>
      <c r="D487" s="131"/>
      <c r="E487" s="19"/>
      <c r="F487" s="19"/>
      <c r="G487" s="37"/>
      <c r="H487" s="37"/>
      <c r="I487" s="37"/>
      <c r="J487" s="37"/>
    </row>
    <row r="488" spans="1:10" x14ac:dyDescent="0.25">
      <c r="A488" s="113"/>
      <c r="B488" s="113"/>
      <c r="C488" s="114"/>
      <c r="D488" s="131"/>
      <c r="E488" s="19"/>
      <c r="F488" s="19"/>
      <c r="G488" s="37"/>
      <c r="H488" s="37"/>
      <c r="I488" s="37"/>
      <c r="J488" s="37"/>
    </row>
    <row r="489" spans="1:10" x14ac:dyDescent="0.25">
      <c r="A489" s="113"/>
      <c r="B489" s="113"/>
      <c r="C489" s="114"/>
      <c r="D489" s="131"/>
      <c r="E489" s="19"/>
      <c r="F489" s="19"/>
      <c r="G489" s="37"/>
      <c r="H489" s="37"/>
      <c r="I489" s="37"/>
      <c r="J489" s="37"/>
    </row>
    <row r="490" spans="1:10" x14ac:dyDescent="0.25">
      <c r="A490" s="113"/>
      <c r="B490" s="113"/>
      <c r="C490" s="114"/>
      <c r="D490" s="131"/>
      <c r="E490" s="19"/>
      <c r="F490" s="19"/>
      <c r="G490" s="37"/>
      <c r="H490" s="37"/>
      <c r="I490" s="37"/>
      <c r="J490" s="37"/>
    </row>
    <row r="491" spans="1:10" x14ac:dyDescent="0.25">
      <c r="A491" s="113"/>
      <c r="B491" s="113"/>
      <c r="C491" s="114"/>
      <c r="D491" s="131"/>
      <c r="E491" s="19"/>
      <c r="F491" s="19"/>
      <c r="G491" s="37"/>
      <c r="H491" s="37"/>
      <c r="I491" s="37"/>
      <c r="J491" s="37"/>
    </row>
    <row r="492" spans="1:10" x14ac:dyDescent="0.25">
      <c r="A492" s="113"/>
      <c r="B492" s="113"/>
      <c r="C492" s="114"/>
      <c r="D492" s="131"/>
      <c r="E492" s="19"/>
      <c r="F492" s="19"/>
      <c r="G492" s="37"/>
      <c r="H492" s="37"/>
      <c r="I492" s="37"/>
      <c r="J492" s="37"/>
    </row>
    <row r="493" spans="1:10" x14ac:dyDescent="0.25">
      <c r="A493" s="113"/>
      <c r="B493" s="113"/>
      <c r="C493" s="114"/>
      <c r="D493" s="131"/>
      <c r="E493" s="19"/>
      <c r="F493" s="19"/>
      <c r="G493" s="37"/>
      <c r="H493" s="37"/>
      <c r="I493" s="37"/>
      <c r="J493" s="37"/>
    </row>
    <row r="494" spans="1:10" x14ac:dyDescent="0.25">
      <c r="A494" s="113"/>
      <c r="B494" s="113"/>
      <c r="C494" s="114"/>
      <c r="D494" s="131"/>
      <c r="E494" s="19"/>
      <c r="F494" s="19"/>
      <c r="G494" s="37"/>
      <c r="H494" s="37"/>
      <c r="I494" s="37"/>
      <c r="J494" s="37"/>
    </row>
    <row r="495" spans="1:10" x14ac:dyDescent="0.25">
      <c r="A495" s="113"/>
      <c r="B495" s="113"/>
      <c r="C495" s="114"/>
      <c r="D495" s="131"/>
      <c r="E495" s="19"/>
      <c r="F495" s="19"/>
      <c r="G495" s="37"/>
      <c r="H495" s="37"/>
      <c r="I495" s="37"/>
      <c r="J495" s="37"/>
    </row>
    <row r="496" spans="1:10" x14ac:dyDescent="0.25">
      <c r="A496" s="113"/>
      <c r="B496" s="113"/>
      <c r="C496" s="114"/>
      <c r="D496" s="131"/>
      <c r="E496" s="19"/>
      <c r="F496" s="19"/>
      <c r="G496" s="37"/>
      <c r="H496" s="37"/>
      <c r="I496" s="37"/>
      <c r="J496" s="37"/>
    </row>
    <row r="497" spans="1:10" x14ac:dyDescent="0.25">
      <c r="A497" s="113"/>
      <c r="B497" s="113"/>
      <c r="C497" s="114"/>
      <c r="D497" s="131"/>
      <c r="E497" s="19"/>
      <c r="F497" s="19"/>
      <c r="G497" s="37"/>
      <c r="H497" s="37"/>
      <c r="I497" s="37"/>
      <c r="J497" s="37"/>
    </row>
    <row r="498" spans="1:10" x14ac:dyDescent="0.25">
      <c r="A498" s="113"/>
      <c r="B498" s="113"/>
      <c r="C498" s="114"/>
      <c r="D498" s="131"/>
      <c r="E498" s="19"/>
      <c r="F498" s="19"/>
      <c r="G498" s="37"/>
      <c r="H498" s="37"/>
      <c r="I498" s="37"/>
      <c r="J498" s="37"/>
    </row>
    <row r="499" spans="1:10" x14ac:dyDescent="0.25">
      <c r="A499" s="113"/>
      <c r="B499" s="113"/>
      <c r="C499" s="114"/>
      <c r="D499" s="131"/>
      <c r="E499" s="19"/>
      <c r="F499" s="19"/>
      <c r="G499" s="37"/>
      <c r="H499" s="37"/>
      <c r="I499" s="37"/>
      <c r="J499" s="37"/>
    </row>
    <row r="500" spans="1:10" x14ac:dyDescent="0.25">
      <c r="A500" s="113"/>
      <c r="B500" s="113"/>
      <c r="C500" s="114"/>
      <c r="D500" s="131"/>
      <c r="E500" s="19"/>
      <c r="F500" s="19"/>
      <c r="G500" s="37"/>
      <c r="H500" s="37"/>
      <c r="I500" s="37"/>
      <c r="J500" s="37"/>
    </row>
    <row r="501" spans="1:10" x14ac:dyDescent="0.25">
      <c r="A501" s="113"/>
      <c r="B501" s="113"/>
      <c r="C501" s="114"/>
      <c r="D501" s="131"/>
      <c r="E501" s="19"/>
      <c r="F501" s="19"/>
      <c r="G501" s="37"/>
      <c r="H501" s="37"/>
      <c r="I501" s="37"/>
      <c r="J501" s="37"/>
    </row>
    <row r="502" spans="1:10" x14ac:dyDescent="0.25">
      <c r="A502" s="113"/>
      <c r="B502" s="113"/>
      <c r="C502" s="114"/>
      <c r="D502" s="131"/>
      <c r="E502" s="19"/>
      <c r="F502" s="19"/>
      <c r="G502" s="37"/>
      <c r="H502" s="37"/>
      <c r="I502" s="37"/>
      <c r="J502" s="37"/>
    </row>
    <row r="503" spans="1:10" x14ac:dyDescent="0.25">
      <c r="A503" s="113"/>
      <c r="B503" s="113"/>
      <c r="C503" s="114"/>
      <c r="D503" s="131"/>
      <c r="E503" s="19"/>
      <c r="F503" s="19"/>
      <c r="G503" s="37"/>
      <c r="H503" s="37"/>
      <c r="I503" s="37"/>
      <c r="J503" s="37"/>
    </row>
    <row r="504" spans="1:10" x14ac:dyDescent="0.25">
      <c r="A504" s="113"/>
      <c r="B504" s="113"/>
      <c r="C504" s="114"/>
      <c r="D504" s="131"/>
      <c r="E504" s="19"/>
      <c r="F504" s="19"/>
      <c r="G504" s="37"/>
      <c r="H504" s="37"/>
      <c r="I504" s="37"/>
      <c r="J504" s="37"/>
    </row>
    <row r="505" spans="1:10" x14ac:dyDescent="0.25">
      <c r="A505" s="113"/>
      <c r="B505" s="113"/>
      <c r="C505" s="114"/>
      <c r="D505" s="131"/>
      <c r="E505" s="19"/>
      <c r="F505" s="19"/>
      <c r="G505" s="37"/>
      <c r="H505" s="37"/>
      <c r="I505" s="37"/>
      <c r="J505" s="37"/>
    </row>
    <row r="506" spans="1:10" x14ac:dyDescent="0.25">
      <c r="A506" s="113"/>
      <c r="B506" s="113"/>
      <c r="C506" s="114"/>
      <c r="D506" s="131"/>
      <c r="E506" s="19"/>
      <c r="F506" s="19"/>
      <c r="G506" s="37"/>
      <c r="H506" s="37"/>
      <c r="I506" s="37"/>
      <c r="J506" s="37"/>
    </row>
    <row r="507" spans="1:10" x14ac:dyDescent="0.25">
      <c r="A507" s="113"/>
      <c r="B507" s="113"/>
      <c r="C507" s="114"/>
      <c r="D507" s="131"/>
      <c r="E507" s="19"/>
      <c r="F507" s="19"/>
      <c r="G507" s="37"/>
      <c r="H507" s="37"/>
      <c r="I507" s="37"/>
      <c r="J507" s="37"/>
    </row>
    <row r="508" spans="1:10" x14ac:dyDescent="0.25">
      <c r="A508" s="113"/>
      <c r="B508" s="113"/>
      <c r="C508" s="114"/>
      <c r="D508" s="131"/>
      <c r="E508" s="19"/>
      <c r="F508" s="19"/>
      <c r="G508" s="37"/>
      <c r="H508" s="37"/>
      <c r="I508" s="37"/>
      <c r="J508" s="37"/>
    </row>
    <row r="509" spans="1:10" x14ac:dyDescent="0.25">
      <c r="A509" s="113"/>
      <c r="B509" s="113"/>
      <c r="C509" s="114"/>
      <c r="D509" s="131"/>
      <c r="E509" s="19"/>
      <c r="F509" s="19"/>
      <c r="G509" s="37"/>
      <c r="H509" s="37"/>
      <c r="I509" s="37"/>
      <c r="J509" s="37"/>
    </row>
    <row r="510" spans="1:10" x14ac:dyDescent="0.25">
      <c r="A510" s="113"/>
      <c r="B510" s="113"/>
      <c r="C510" s="114"/>
      <c r="D510" s="131"/>
      <c r="E510" s="19"/>
      <c r="F510" s="19"/>
      <c r="G510" s="37"/>
      <c r="H510" s="37"/>
      <c r="I510" s="37"/>
      <c r="J510" s="37"/>
    </row>
    <row r="511" spans="1:10" x14ac:dyDescent="0.25">
      <c r="A511" s="113"/>
      <c r="B511" s="113"/>
      <c r="C511" s="114"/>
      <c r="D511" s="131"/>
      <c r="E511" s="19"/>
      <c r="F511" s="19"/>
      <c r="G511" s="37"/>
      <c r="H511" s="37"/>
      <c r="I511" s="37"/>
      <c r="J511" s="37"/>
    </row>
    <row r="512" spans="1:10" x14ac:dyDescent="0.25">
      <c r="A512" s="113"/>
      <c r="B512" s="113"/>
      <c r="C512" s="114"/>
      <c r="D512" s="131"/>
      <c r="E512" s="19"/>
      <c r="F512" s="19"/>
      <c r="G512" s="37"/>
      <c r="H512" s="37"/>
      <c r="I512" s="37"/>
      <c r="J512" s="37"/>
    </row>
    <row r="513" spans="1:10" x14ac:dyDescent="0.25">
      <c r="A513" s="113"/>
      <c r="B513" s="113"/>
      <c r="C513" s="114"/>
      <c r="D513" s="131"/>
      <c r="E513" s="19"/>
      <c r="F513" s="19"/>
      <c r="G513" s="37"/>
      <c r="H513" s="37"/>
      <c r="I513" s="37"/>
      <c r="J513" s="37"/>
    </row>
    <row r="514" spans="1:10" x14ac:dyDescent="0.25">
      <c r="A514" s="113"/>
      <c r="B514" s="113"/>
      <c r="C514" s="114"/>
      <c r="D514" s="131"/>
      <c r="E514" s="19"/>
      <c r="F514" s="19"/>
      <c r="G514" s="37"/>
      <c r="H514" s="37"/>
      <c r="I514" s="37"/>
      <c r="J514" s="37"/>
    </row>
    <row r="515" spans="1:10" x14ac:dyDescent="0.25">
      <c r="A515" s="113"/>
      <c r="B515" s="113"/>
      <c r="C515" s="114"/>
      <c r="D515" s="131"/>
      <c r="E515" s="19"/>
      <c r="F515" s="19"/>
      <c r="G515" s="37"/>
      <c r="H515" s="37"/>
      <c r="I515" s="37"/>
      <c r="J515" s="37"/>
    </row>
    <row r="516" spans="1:10" x14ac:dyDescent="0.25">
      <c r="A516" s="113"/>
      <c r="B516" s="113"/>
      <c r="C516" s="114"/>
      <c r="D516" s="131"/>
      <c r="E516" s="19"/>
      <c r="F516" s="19"/>
      <c r="G516" s="37"/>
      <c r="H516" s="37"/>
      <c r="I516" s="37"/>
      <c r="J516" s="37"/>
    </row>
    <row r="517" spans="1:10" x14ac:dyDescent="0.25">
      <c r="A517" s="113"/>
      <c r="B517" s="113"/>
      <c r="C517" s="114"/>
      <c r="D517" s="131"/>
      <c r="E517" s="19"/>
      <c r="F517" s="19"/>
      <c r="G517" s="37"/>
      <c r="H517" s="37"/>
      <c r="I517" s="37"/>
      <c r="J517" s="37"/>
    </row>
    <row r="518" spans="1:10" x14ac:dyDescent="0.25">
      <c r="A518" s="113"/>
      <c r="B518" s="113"/>
      <c r="C518" s="114"/>
      <c r="D518" s="131"/>
      <c r="E518" s="19"/>
      <c r="F518" s="19"/>
      <c r="G518" s="37"/>
      <c r="H518" s="37"/>
      <c r="I518" s="37"/>
      <c r="J518" s="37"/>
    </row>
    <row r="519" spans="1:10" x14ac:dyDescent="0.25">
      <c r="A519" s="113"/>
      <c r="B519" s="113"/>
      <c r="C519" s="114"/>
      <c r="D519" s="131"/>
      <c r="E519" s="19"/>
      <c r="F519" s="19"/>
      <c r="G519" s="37"/>
      <c r="H519" s="37"/>
      <c r="I519" s="37"/>
      <c r="J519" s="37"/>
    </row>
    <row r="520" spans="1:10" x14ac:dyDescent="0.25">
      <c r="A520" s="113"/>
      <c r="B520" s="113"/>
      <c r="C520" s="114"/>
      <c r="D520" s="131"/>
      <c r="E520" s="19"/>
      <c r="F520" s="19"/>
      <c r="G520" s="37"/>
      <c r="H520" s="37"/>
      <c r="I520" s="37"/>
      <c r="J520" s="37"/>
    </row>
    <row r="521" spans="1:10" x14ac:dyDescent="0.25">
      <c r="A521" s="113"/>
      <c r="B521" s="113"/>
      <c r="C521" s="114"/>
      <c r="D521" s="131"/>
      <c r="E521" s="19"/>
      <c r="F521" s="19"/>
      <c r="G521" s="37"/>
      <c r="H521" s="37"/>
      <c r="I521" s="37"/>
      <c r="J521" s="37"/>
    </row>
    <row r="522" spans="1:10" x14ac:dyDescent="0.25">
      <c r="A522" s="113"/>
      <c r="B522" s="113"/>
      <c r="C522" s="114"/>
      <c r="D522" s="131"/>
      <c r="E522" s="19"/>
      <c r="F522" s="19"/>
      <c r="G522" s="37"/>
      <c r="H522" s="37"/>
      <c r="I522" s="37"/>
      <c r="J522" s="37"/>
    </row>
    <row r="523" spans="1:10" x14ac:dyDescent="0.25">
      <c r="A523" s="113"/>
      <c r="B523" s="113"/>
      <c r="C523" s="114"/>
      <c r="D523" s="131"/>
      <c r="E523" s="19"/>
      <c r="F523" s="19"/>
      <c r="G523" s="37"/>
      <c r="H523" s="37"/>
      <c r="I523" s="37"/>
      <c r="J523" s="37"/>
    </row>
    <row r="524" spans="1:10" x14ac:dyDescent="0.25">
      <c r="A524" s="113"/>
      <c r="B524" s="113"/>
      <c r="C524" s="114"/>
      <c r="D524" s="131"/>
      <c r="E524" s="19"/>
      <c r="F524" s="19"/>
      <c r="G524" s="37"/>
      <c r="H524" s="37"/>
      <c r="I524" s="37"/>
      <c r="J524" s="37"/>
    </row>
    <row r="525" spans="1:10" x14ac:dyDescent="0.25">
      <c r="A525" s="113"/>
      <c r="B525" s="113"/>
      <c r="C525" s="114"/>
      <c r="D525" s="131"/>
      <c r="E525" s="19"/>
      <c r="F525" s="19"/>
      <c r="G525" s="37"/>
      <c r="H525" s="37"/>
      <c r="I525" s="37"/>
      <c r="J525" s="37"/>
    </row>
    <row r="526" spans="1:10" x14ac:dyDescent="0.25">
      <c r="A526" s="113"/>
      <c r="B526" s="113"/>
      <c r="C526" s="114"/>
      <c r="D526" s="131"/>
      <c r="E526" s="19"/>
      <c r="F526" s="19"/>
      <c r="G526" s="37"/>
      <c r="H526" s="37"/>
      <c r="I526" s="37"/>
      <c r="J526" s="37"/>
    </row>
    <row r="527" spans="1:10" x14ac:dyDescent="0.25">
      <c r="A527" s="113"/>
      <c r="B527" s="113"/>
      <c r="C527" s="114"/>
      <c r="D527" s="131"/>
      <c r="E527" s="19"/>
      <c r="F527" s="19"/>
      <c r="G527" s="37"/>
      <c r="H527" s="37"/>
      <c r="I527" s="37"/>
      <c r="J527" s="37"/>
    </row>
    <row r="528" spans="1:10" x14ac:dyDescent="0.25">
      <c r="A528" s="113"/>
      <c r="B528" s="113"/>
      <c r="C528" s="114"/>
      <c r="D528" s="131"/>
      <c r="E528" s="19"/>
      <c r="F528" s="19"/>
      <c r="G528" s="37"/>
      <c r="H528" s="37"/>
      <c r="I528" s="37"/>
      <c r="J528" s="37"/>
    </row>
    <row r="529" spans="1:10" x14ac:dyDescent="0.25">
      <c r="A529" s="113"/>
      <c r="B529" s="113"/>
      <c r="C529" s="114"/>
      <c r="D529" s="131"/>
      <c r="E529" s="19"/>
      <c r="F529" s="19"/>
      <c r="G529" s="37"/>
      <c r="H529" s="37"/>
      <c r="I529" s="37"/>
      <c r="J529" s="37"/>
    </row>
    <row r="530" spans="1:10" x14ac:dyDescent="0.25">
      <c r="A530" s="113"/>
      <c r="B530" s="113"/>
      <c r="C530" s="114"/>
      <c r="D530" s="131"/>
      <c r="E530" s="19"/>
      <c r="F530" s="19"/>
      <c r="G530" s="37"/>
      <c r="H530" s="37"/>
      <c r="I530" s="37"/>
      <c r="J530" s="37"/>
    </row>
    <row r="531" spans="1:10" x14ac:dyDescent="0.25">
      <c r="A531" s="113"/>
      <c r="B531" s="113"/>
      <c r="C531" s="114"/>
      <c r="D531" s="131"/>
      <c r="E531" s="19"/>
      <c r="F531" s="19"/>
      <c r="G531" s="37"/>
      <c r="H531" s="37"/>
      <c r="I531" s="37"/>
      <c r="J531" s="37"/>
    </row>
    <row r="532" spans="1:10" x14ac:dyDescent="0.25">
      <c r="A532" s="113"/>
      <c r="B532" s="113"/>
      <c r="C532" s="114"/>
      <c r="D532" s="131"/>
      <c r="E532" s="19"/>
      <c r="F532" s="19"/>
      <c r="G532" s="37"/>
      <c r="H532" s="37"/>
      <c r="I532" s="37"/>
      <c r="J532" s="37"/>
    </row>
    <row r="533" spans="1:10" x14ac:dyDescent="0.25">
      <c r="A533" s="113"/>
      <c r="B533" s="113"/>
      <c r="C533" s="114"/>
      <c r="D533" s="131"/>
      <c r="E533" s="19"/>
      <c r="F533" s="19"/>
      <c r="G533" s="37"/>
      <c r="H533" s="37"/>
      <c r="I533" s="37"/>
      <c r="J533" s="37"/>
    </row>
    <row r="534" spans="1:10" x14ac:dyDescent="0.25">
      <c r="A534" s="113"/>
      <c r="B534" s="113"/>
      <c r="C534" s="114"/>
      <c r="D534" s="131"/>
      <c r="E534" s="19"/>
      <c r="F534" s="19"/>
      <c r="G534" s="37"/>
      <c r="H534" s="37"/>
      <c r="I534" s="37"/>
      <c r="J534" s="37"/>
    </row>
    <row r="535" spans="1:10" x14ac:dyDescent="0.25">
      <c r="A535" s="113"/>
      <c r="B535" s="113"/>
      <c r="C535" s="114"/>
      <c r="D535" s="131"/>
      <c r="E535" s="19"/>
      <c r="F535" s="19"/>
      <c r="G535" s="37"/>
      <c r="H535" s="37"/>
      <c r="I535" s="37"/>
      <c r="J535" s="37"/>
    </row>
    <row r="536" spans="1:10" x14ac:dyDescent="0.25">
      <c r="A536" s="113"/>
      <c r="B536" s="113"/>
      <c r="C536" s="114"/>
      <c r="D536" s="131"/>
      <c r="E536" s="19"/>
      <c r="F536" s="19"/>
      <c r="G536" s="37"/>
      <c r="H536" s="37"/>
      <c r="I536" s="37"/>
      <c r="J536" s="37"/>
    </row>
    <row r="537" spans="1:10" x14ac:dyDescent="0.25">
      <c r="A537" s="113"/>
      <c r="B537" s="113"/>
      <c r="C537" s="114"/>
      <c r="D537" s="131"/>
      <c r="E537" s="19"/>
      <c r="F537" s="19"/>
      <c r="G537" s="37"/>
      <c r="H537" s="37"/>
      <c r="I537" s="37"/>
      <c r="J537" s="37"/>
    </row>
    <row r="538" spans="1:10" x14ac:dyDescent="0.25">
      <c r="A538" s="113"/>
      <c r="B538" s="113"/>
      <c r="C538" s="114"/>
      <c r="D538" s="131"/>
      <c r="E538" s="19"/>
      <c r="F538" s="19"/>
      <c r="G538" s="37"/>
      <c r="H538" s="37"/>
      <c r="I538" s="37"/>
      <c r="J538" s="37"/>
    </row>
    <row r="539" spans="1:10" x14ac:dyDescent="0.25">
      <c r="A539" s="113"/>
      <c r="B539" s="113"/>
      <c r="C539" s="114"/>
      <c r="D539" s="131"/>
      <c r="E539" s="19"/>
      <c r="F539" s="19"/>
      <c r="G539" s="37"/>
      <c r="H539" s="37"/>
      <c r="I539" s="37"/>
      <c r="J539" s="37"/>
    </row>
    <row r="540" spans="1:10" x14ac:dyDescent="0.25">
      <c r="A540" s="113"/>
      <c r="B540" s="113"/>
      <c r="C540" s="114"/>
      <c r="D540" s="131"/>
      <c r="E540" s="19"/>
      <c r="F540" s="19"/>
      <c r="G540" s="37"/>
      <c r="H540" s="37"/>
      <c r="I540" s="37"/>
      <c r="J540" s="37"/>
    </row>
    <row r="541" spans="1:10" x14ac:dyDescent="0.25">
      <c r="A541" s="113"/>
      <c r="B541" s="113"/>
      <c r="C541" s="114"/>
      <c r="D541" s="131"/>
      <c r="E541" s="19"/>
      <c r="F541" s="19"/>
      <c r="G541" s="37"/>
      <c r="H541" s="37"/>
      <c r="I541" s="37"/>
      <c r="J541" s="37"/>
    </row>
    <row r="542" spans="1:10" x14ac:dyDescent="0.25">
      <c r="A542" s="113"/>
      <c r="B542" s="113"/>
      <c r="C542" s="114"/>
      <c r="D542" s="131"/>
      <c r="E542" s="19"/>
      <c r="F542" s="19"/>
      <c r="G542" s="37"/>
      <c r="H542" s="37"/>
      <c r="I542" s="37"/>
      <c r="J542" s="37"/>
    </row>
    <row r="543" spans="1:10" x14ac:dyDescent="0.25">
      <c r="A543" s="113"/>
      <c r="B543" s="113"/>
      <c r="C543" s="114"/>
      <c r="D543" s="131"/>
      <c r="E543" s="19"/>
      <c r="F543" s="19"/>
      <c r="G543" s="37"/>
      <c r="H543" s="37"/>
      <c r="I543" s="37"/>
      <c r="J543" s="37"/>
    </row>
    <row r="544" spans="1:10" x14ac:dyDescent="0.25">
      <c r="A544" s="113"/>
      <c r="B544" s="113"/>
      <c r="C544" s="114"/>
      <c r="D544" s="131"/>
      <c r="E544" s="19"/>
      <c r="F544" s="19"/>
      <c r="G544" s="37"/>
      <c r="H544" s="37"/>
      <c r="I544" s="37"/>
      <c r="J544" s="37"/>
    </row>
    <row r="545" spans="1:10" x14ac:dyDescent="0.25">
      <c r="A545" s="113"/>
      <c r="B545" s="113"/>
      <c r="C545" s="114"/>
      <c r="D545" s="131"/>
      <c r="E545" s="19"/>
      <c r="F545" s="19"/>
      <c r="G545" s="37"/>
      <c r="H545" s="37"/>
      <c r="I545" s="37"/>
      <c r="J545" s="37"/>
    </row>
    <row r="546" spans="1:10" x14ac:dyDescent="0.25">
      <c r="A546" s="113"/>
      <c r="B546" s="113"/>
      <c r="C546" s="114"/>
      <c r="D546" s="131"/>
      <c r="E546" s="19"/>
      <c r="F546" s="19"/>
      <c r="G546" s="37"/>
      <c r="H546" s="37"/>
      <c r="I546" s="37"/>
      <c r="J546" s="37"/>
    </row>
    <row r="547" spans="1:10" x14ac:dyDescent="0.25">
      <c r="A547" s="113"/>
      <c r="B547" s="113"/>
      <c r="C547" s="114"/>
      <c r="D547" s="131"/>
      <c r="E547" s="19"/>
      <c r="F547" s="19"/>
      <c r="G547" s="37"/>
      <c r="H547" s="37"/>
      <c r="I547" s="37"/>
      <c r="J547" s="37"/>
    </row>
    <row r="548" spans="1:10" x14ac:dyDescent="0.25">
      <c r="A548" s="113"/>
      <c r="B548" s="113"/>
      <c r="C548" s="114"/>
      <c r="D548" s="131"/>
      <c r="E548" s="19"/>
      <c r="F548" s="19"/>
      <c r="G548" s="37"/>
      <c r="H548" s="37"/>
      <c r="I548" s="37"/>
      <c r="J548" s="37"/>
    </row>
    <row r="549" spans="1:10" x14ac:dyDescent="0.25">
      <c r="A549" s="113"/>
      <c r="B549" s="113"/>
      <c r="C549" s="114"/>
      <c r="D549" s="131"/>
      <c r="E549" s="19"/>
      <c r="F549" s="19"/>
      <c r="G549" s="37"/>
      <c r="H549" s="37"/>
      <c r="I549" s="37"/>
      <c r="J549" s="37"/>
    </row>
    <row r="550" spans="1:10" x14ac:dyDescent="0.25">
      <c r="A550" s="113"/>
      <c r="B550" s="113"/>
      <c r="C550" s="114"/>
      <c r="D550" s="131"/>
      <c r="E550" s="19"/>
      <c r="F550" s="19"/>
      <c r="G550" s="37"/>
      <c r="H550" s="37"/>
      <c r="I550" s="37"/>
      <c r="J550" s="37"/>
    </row>
    <row r="551" spans="1:10" x14ac:dyDescent="0.25">
      <c r="A551" s="113"/>
      <c r="B551" s="113"/>
      <c r="C551" s="114"/>
      <c r="D551" s="131"/>
      <c r="E551" s="19"/>
      <c r="F551" s="19"/>
      <c r="G551" s="37"/>
      <c r="H551" s="37"/>
      <c r="I551" s="37"/>
      <c r="J551" s="37"/>
    </row>
    <row r="552" spans="1:10" x14ac:dyDescent="0.25">
      <c r="A552" s="113"/>
      <c r="B552" s="113"/>
      <c r="C552" s="114"/>
      <c r="D552" s="131"/>
      <c r="E552" s="19"/>
      <c r="F552" s="19"/>
      <c r="G552" s="37"/>
      <c r="H552" s="37"/>
      <c r="I552" s="37"/>
      <c r="J552" s="37"/>
    </row>
    <row r="553" spans="1:10" x14ac:dyDescent="0.25">
      <c r="A553" s="113"/>
      <c r="B553" s="113"/>
      <c r="C553" s="114"/>
      <c r="D553" s="131"/>
      <c r="E553" s="19"/>
      <c r="F553" s="19"/>
      <c r="G553" s="37"/>
      <c r="H553" s="37"/>
      <c r="I553" s="37"/>
      <c r="J553" s="37"/>
    </row>
    <row r="554" spans="1:10" x14ac:dyDescent="0.25">
      <c r="A554" s="113"/>
      <c r="B554" s="113"/>
      <c r="C554" s="114"/>
      <c r="D554" s="131"/>
      <c r="E554" s="19"/>
      <c r="F554" s="19"/>
      <c r="G554" s="37"/>
      <c r="H554" s="37"/>
      <c r="I554" s="37"/>
      <c r="J554" s="37"/>
    </row>
    <row r="555" spans="1:10" x14ac:dyDescent="0.25">
      <c r="A555" s="113"/>
      <c r="B555" s="113"/>
      <c r="C555" s="114"/>
      <c r="D555" s="131"/>
      <c r="E555" s="19"/>
      <c r="F555" s="19"/>
      <c r="G555" s="37"/>
      <c r="H555" s="37"/>
      <c r="I555" s="37"/>
      <c r="J555" s="37"/>
    </row>
    <row r="556" spans="1:10" x14ac:dyDescent="0.25">
      <c r="A556" s="113"/>
      <c r="B556" s="113"/>
      <c r="C556" s="114"/>
      <c r="D556" s="131"/>
      <c r="E556" s="19"/>
      <c r="F556" s="19"/>
      <c r="G556" s="37"/>
      <c r="H556" s="37"/>
      <c r="I556" s="37"/>
      <c r="J556" s="37"/>
    </row>
    <row r="557" spans="1:10" x14ac:dyDescent="0.25">
      <c r="A557" s="113"/>
      <c r="B557" s="113"/>
      <c r="C557" s="114"/>
      <c r="D557" s="131"/>
      <c r="E557" s="19"/>
      <c r="F557" s="19"/>
      <c r="G557" s="37"/>
      <c r="H557" s="37"/>
      <c r="I557" s="37"/>
      <c r="J557" s="37"/>
    </row>
    <row r="558" spans="1:10" x14ac:dyDescent="0.25">
      <c r="A558" s="113"/>
      <c r="B558" s="113"/>
      <c r="C558" s="114"/>
      <c r="D558" s="131"/>
      <c r="E558" s="19"/>
      <c r="F558" s="19"/>
      <c r="G558" s="37"/>
      <c r="H558" s="37"/>
      <c r="I558" s="37"/>
      <c r="J558" s="37"/>
    </row>
    <row r="559" spans="1:10" x14ac:dyDescent="0.25">
      <c r="A559" s="113"/>
      <c r="B559" s="113"/>
      <c r="C559" s="114"/>
      <c r="D559" s="131"/>
      <c r="E559" s="19"/>
      <c r="F559" s="19"/>
      <c r="G559" s="37"/>
      <c r="H559" s="37"/>
      <c r="I559" s="37"/>
      <c r="J559" s="37"/>
    </row>
    <row r="560" spans="1:10" x14ac:dyDescent="0.25">
      <c r="A560" s="113"/>
      <c r="B560" s="113"/>
      <c r="C560" s="114"/>
      <c r="D560" s="131"/>
      <c r="E560" s="19"/>
      <c r="F560" s="19"/>
      <c r="G560" s="37"/>
      <c r="H560" s="37"/>
      <c r="I560" s="37"/>
      <c r="J560" s="37"/>
    </row>
    <row r="561" spans="1:10" x14ac:dyDescent="0.25">
      <c r="A561" s="113"/>
      <c r="B561" s="113"/>
      <c r="C561" s="114"/>
      <c r="D561" s="131"/>
      <c r="E561" s="19"/>
      <c r="F561" s="19"/>
      <c r="G561" s="37"/>
      <c r="H561" s="37"/>
      <c r="I561" s="37"/>
      <c r="J561" s="37"/>
    </row>
    <row r="562" spans="1:10" x14ac:dyDescent="0.25">
      <c r="A562" s="113"/>
      <c r="B562" s="113"/>
      <c r="C562" s="114"/>
      <c r="D562" s="131"/>
      <c r="E562" s="19"/>
      <c r="F562" s="19"/>
      <c r="G562" s="37"/>
      <c r="H562" s="37"/>
      <c r="I562" s="37"/>
      <c r="J562" s="37"/>
    </row>
    <row r="563" spans="1:10" x14ac:dyDescent="0.25">
      <c r="A563" s="113"/>
      <c r="B563" s="113"/>
      <c r="C563" s="114"/>
      <c r="D563" s="131"/>
      <c r="E563" s="19"/>
      <c r="F563" s="19"/>
      <c r="G563" s="37"/>
      <c r="H563" s="37"/>
      <c r="I563" s="37"/>
      <c r="J563" s="37"/>
    </row>
    <row r="564" spans="1:10" x14ac:dyDescent="0.25">
      <c r="A564" s="113"/>
      <c r="B564" s="113"/>
      <c r="C564" s="114"/>
      <c r="D564" s="131"/>
      <c r="E564" s="19"/>
      <c r="F564" s="19"/>
      <c r="G564" s="37"/>
      <c r="H564" s="37"/>
      <c r="I564" s="37"/>
      <c r="J564" s="37"/>
    </row>
    <row r="565" spans="1:10" x14ac:dyDescent="0.25">
      <c r="A565" s="113"/>
      <c r="B565" s="113"/>
      <c r="C565" s="114"/>
      <c r="D565" s="131"/>
      <c r="E565" s="19"/>
      <c r="F565" s="19"/>
      <c r="G565" s="37"/>
      <c r="H565" s="37"/>
      <c r="I565" s="37"/>
      <c r="J565" s="37"/>
    </row>
    <row r="566" spans="1:10" x14ac:dyDescent="0.25">
      <c r="A566" s="113"/>
      <c r="B566" s="113"/>
      <c r="C566" s="114"/>
      <c r="D566" s="131"/>
      <c r="E566" s="19"/>
      <c r="F566" s="19"/>
      <c r="G566" s="37"/>
      <c r="H566" s="37"/>
      <c r="I566" s="37"/>
      <c r="J566" s="37"/>
    </row>
    <row r="567" spans="1:10" x14ac:dyDescent="0.25">
      <c r="A567" s="113"/>
      <c r="B567" s="113"/>
      <c r="C567" s="114"/>
      <c r="D567" s="131"/>
      <c r="E567" s="19"/>
      <c r="F567" s="19"/>
      <c r="G567" s="37"/>
      <c r="H567" s="37"/>
      <c r="I567" s="37"/>
      <c r="J567" s="37"/>
    </row>
    <row r="568" spans="1:10" x14ac:dyDescent="0.25">
      <c r="A568" s="113"/>
      <c r="B568" s="113"/>
      <c r="C568" s="114"/>
      <c r="D568" s="131"/>
      <c r="E568" s="19"/>
      <c r="F568" s="19"/>
      <c r="G568" s="37"/>
      <c r="H568" s="37"/>
      <c r="I568" s="37"/>
      <c r="J568" s="37"/>
    </row>
    <row r="569" spans="1:10" x14ac:dyDescent="0.25">
      <c r="A569" s="113"/>
      <c r="B569" s="113"/>
      <c r="C569" s="114"/>
      <c r="D569" s="131"/>
      <c r="E569" s="19"/>
      <c r="F569" s="19"/>
      <c r="G569" s="37"/>
      <c r="H569" s="37"/>
      <c r="I569" s="37"/>
      <c r="J569" s="37"/>
    </row>
    <row r="570" spans="1:10" x14ac:dyDescent="0.25">
      <c r="A570" s="113"/>
      <c r="B570" s="113"/>
      <c r="C570" s="114"/>
      <c r="D570" s="131"/>
      <c r="E570" s="19"/>
      <c r="F570" s="19"/>
      <c r="G570" s="37"/>
      <c r="H570" s="37"/>
      <c r="I570" s="37"/>
      <c r="J570" s="37"/>
    </row>
    <row r="571" spans="1:10" x14ac:dyDescent="0.25">
      <c r="A571" s="113"/>
      <c r="B571" s="113"/>
      <c r="C571" s="114"/>
      <c r="D571" s="131"/>
      <c r="E571" s="19"/>
      <c r="F571" s="19"/>
      <c r="G571" s="37"/>
      <c r="H571" s="37"/>
      <c r="I571" s="37"/>
      <c r="J571" s="37"/>
    </row>
    <row r="572" spans="1:10" x14ac:dyDescent="0.25">
      <c r="A572" s="113"/>
      <c r="B572" s="113"/>
      <c r="C572" s="114"/>
      <c r="D572" s="131"/>
      <c r="E572" s="19"/>
      <c r="F572" s="19"/>
      <c r="G572" s="37"/>
      <c r="H572" s="37"/>
      <c r="I572" s="37"/>
      <c r="J572" s="37"/>
    </row>
    <row r="573" spans="1:10" x14ac:dyDescent="0.25">
      <c r="A573" s="113"/>
      <c r="B573" s="113"/>
      <c r="C573" s="114"/>
      <c r="D573" s="131"/>
      <c r="E573" s="19"/>
      <c r="F573" s="19"/>
      <c r="G573" s="37"/>
      <c r="H573" s="37"/>
      <c r="I573" s="37"/>
      <c r="J573" s="37"/>
    </row>
    <row r="574" spans="1:10" x14ac:dyDescent="0.25">
      <c r="A574" s="113"/>
      <c r="B574" s="113"/>
      <c r="C574" s="114"/>
      <c r="D574" s="131"/>
      <c r="E574" s="19"/>
      <c r="F574" s="19"/>
      <c r="G574" s="37"/>
      <c r="H574" s="37"/>
      <c r="I574" s="37"/>
      <c r="J574" s="37"/>
    </row>
    <row r="575" spans="1:10" x14ac:dyDescent="0.25">
      <c r="A575" s="113"/>
      <c r="B575" s="113"/>
      <c r="C575" s="114"/>
      <c r="D575" s="131"/>
      <c r="E575" s="19"/>
      <c r="F575" s="19"/>
      <c r="G575" s="37"/>
      <c r="H575" s="37"/>
      <c r="I575" s="37"/>
      <c r="J575" s="37"/>
    </row>
    <row r="576" spans="1:10" x14ac:dyDescent="0.25">
      <c r="A576" s="113"/>
      <c r="B576" s="113"/>
      <c r="C576" s="114"/>
      <c r="D576" s="131"/>
      <c r="E576" s="19"/>
      <c r="F576" s="19"/>
      <c r="G576" s="37"/>
      <c r="H576" s="37"/>
      <c r="I576" s="37"/>
      <c r="J576" s="37"/>
    </row>
    <row r="577" spans="1:10" x14ac:dyDescent="0.25">
      <c r="A577" s="113"/>
      <c r="B577" s="113"/>
      <c r="C577" s="114"/>
      <c r="D577" s="131"/>
      <c r="E577" s="19"/>
      <c r="F577" s="19"/>
      <c r="G577" s="37"/>
      <c r="H577" s="37"/>
      <c r="I577" s="37"/>
      <c r="J577" s="37"/>
    </row>
    <row r="578" spans="1:10" x14ac:dyDescent="0.25">
      <c r="A578" s="113"/>
      <c r="B578" s="113"/>
      <c r="C578" s="114"/>
      <c r="D578" s="131"/>
      <c r="E578" s="19"/>
      <c r="F578" s="19"/>
      <c r="G578" s="37"/>
      <c r="H578" s="37"/>
      <c r="I578" s="37"/>
      <c r="J578" s="37"/>
    </row>
    <row r="579" spans="1:10" x14ac:dyDescent="0.25">
      <c r="A579" s="113"/>
      <c r="B579" s="113"/>
      <c r="C579" s="114"/>
      <c r="D579" s="131"/>
      <c r="E579" s="19"/>
      <c r="F579" s="19"/>
      <c r="G579" s="37"/>
      <c r="H579" s="37"/>
      <c r="I579" s="37"/>
      <c r="J579" s="37"/>
    </row>
    <row r="580" spans="1:10" x14ac:dyDescent="0.25">
      <c r="A580" s="113"/>
      <c r="B580" s="113"/>
      <c r="C580" s="114"/>
      <c r="D580" s="131"/>
      <c r="E580" s="19"/>
      <c r="F580" s="19"/>
      <c r="G580" s="37"/>
      <c r="H580" s="37"/>
      <c r="I580" s="37"/>
      <c r="J580" s="37"/>
    </row>
    <row r="581" spans="1:10" x14ac:dyDescent="0.25">
      <c r="A581" s="113"/>
      <c r="B581" s="113"/>
      <c r="C581" s="114"/>
      <c r="D581" s="131"/>
      <c r="E581" s="19"/>
      <c r="F581" s="19"/>
      <c r="G581" s="37"/>
      <c r="H581" s="37"/>
      <c r="I581" s="37"/>
      <c r="J581" s="37"/>
    </row>
    <row r="582" spans="1:10" x14ac:dyDescent="0.25">
      <c r="A582" s="113"/>
      <c r="B582" s="113"/>
      <c r="C582" s="114"/>
      <c r="D582" s="131"/>
      <c r="E582" s="19"/>
      <c r="F582" s="19"/>
      <c r="G582" s="37"/>
      <c r="H582" s="37"/>
      <c r="I582" s="37"/>
      <c r="J582" s="37"/>
    </row>
    <row r="583" spans="1:10" x14ac:dyDescent="0.25">
      <c r="A583" s="113"/>
      <c r="B583" s="113"/>
      <c r="C583" s="114"/>
      <c r="D583" s="131"/>
      <c r="E583" s="19"/>
      <c r="F583" s="19"/>
      <c r="G583" s="37"/>
      <c r="H583" s="37"/>
      <c r="I583" s="37"/>
      <c r="J583" s="37"/>
    </row>
    <row r="584" spans="1:10" x14ac:dyDescent="0.25">
      <c r="A584" s="113"/>
      <c r="B584" s="113"/>
      <c r="C584" s="114"/>
      <c r="D584" s="131"/>
      <c r="E584" s="19"/>
      <c r="F584" s="19"/>
      <c r="G584" s="37"/>
      <c r="H584" s="37"/>
      <c r="I584" s="37"/>
      <c r="J584" s="37"/>
    </row>
    <row r="585" spans="1:10" x14ac:dyDescent="0.25">
      <c r="A585" s="113"/>
      <c r="B585" s="113"/>
      <c r="C585" s="114"/>
      <c r="D585" s="131"/>
      <c r="E585" s="19"/>
      <c r="F585" s="19"/>
      <c r="G585" s="37"/>
      <c r="H585" s="37"/>
      <c r="I585" s="37"/>
      <c r="J585" s="37"/>
    </row>
    <row r="586" spans="1:10" x14ac:dyDescent="0.25">
      <c r="A586" s="113"/>
      <c r="B586" s="113"/>
      <c r="C586" s="114"/>
      <c r="D586" s="131"/>
      <c r="E586" s="19"/>
      <c r="F586" s="19"/>
      <c r="G586" s="37"/>
      <c r="H586" s="37"/>
      <c r="I586" s="37"/>
      <c r="J586" s="37"/>
    </row>
    <row r="587" spans="1:10" x14ac:dyDescent="0.25">
      <c r="A587" s="113"/>
      <c r="B587" s="113"/>
      <c r="C587" s="114"/>
      <c r="D587" s="131"/>
      <c r="E587" s="19"/>
      <c r="F587" s="19"/>
      <c r="G587" s="37"/>
      <c r="H587" s="37"/>
      <c r="I587" s="37"/>
      <c r="J587" s="37"/>
    </row>
    <row r="588" spans="1:10" x14ac:dyDescent="0.25">
      <c r="A588" s="113"/>
      <c r="B588" s="113"/>
      <c r="C588" s="114"/>
      <c r="D588" s="131"/>
      <c r="E588" s="19"/>
      <c r="F588" s="19"/>
      <c r="G588" s="37"/>
      <c r="H588" s="37"/>
      <c r="I588" s="37"/>
      <c r="J588" s="37"/>
    </row>
    <row r="589" spans="1:10" x14ac:dyDescent="0.25">
      <c r="A589" s="113"/>
      <c r="B589" s="113"/>
      <c r="C589" s="114"/>
      <c r="D589" s="131"/>
      <c r="E589" s="19"/>
      <c r="F589" s="19"/>
      <c r="G589" s="37"/>
      <c r="H589" s="37"/>
      <c r="I589" s="37"/>
      <c r="J589" s="37"/>
    </row>
    <row r="590" spans="1:10" x14ac:dyDescent="0.25">
      <c r="A590" s="113"/>
      <c r="B590" s="113"/>
      <c r="C590" s="114"/>
      <c r="D590" s="131"/>
      <c r="E590" s="19"/>
      <c r="F590" s="19"/>
      <c r="G590" s="37"/>
      <c r="H590" s="37"/>
      <c r="I590" s="37"/>
      <c r="J590" s="37"/>
    </row>
    <row r="591" spans="1:10" x14ac:dyDescent="0.25">
      <c r="A591" s="113"/>
      <c r="B591" s="113"/>
      <c r="C591" s="114"/>
      <c r="D591" s="131"/>
      <c r="E591" s="19"/>
      <c r="F591" s="19"/>
      <c r="G591" s="37"/>
      <c r="H591" s="37"/>
      <c r="I591" s="37"/>
      <c r="J591" s="37"/>
    </row>
    <row r="592" spans="1:10" x14ac:dyDescent="0.25">
      <c r="A592" s="113"/>
      <c r="B592" s="113"/>
      <c r="C592" s="114"/>
      <c r="D592" s="131"/>
      <c r="E592" s="19"/>
      <c r="F592" s="19"/>
      <c r="G592" s="37"/>
      <c r="H592" s="37"/>
      <c r="I592" s="37"/>
      <c r="J592" s="37"/>
    </row>
    <row r="593" spans="1:10" x14ac:dyDescent="0.25">
      <c r="A593" s="113"/>
      <c r="B593" s="113"/>
      <c r="C593" s="114"/>
      <c r="D593" s="131"/>
      <c r="E593" s="19"/>
      <c r="F593" s="19"/>
      <c r="G593" s="37"/>
      <c r="H593" s="37"/>
      <c r="I593" s="37"/>
      <c r="J593" s="37"/>
    </row>
    <row r="594" spans="1:10" x14ac:dyDescent="0.25">
      <c r="A594" s="113"/>
      <c r="B594" s="113"/>
      <c r="C594" s="114"/>
      <c r="D594" s="131"/>
      <c r="E594" s="19"/>
      <c r="F594" s="19"/>
      <c r="G594" s="37"/>
      <c r="H594" s="37"/>
      <c r="I594" s="37"/>
      <c r="J594" s="37"/>
    </row>
    <row r="595" spans="1:10" x14ac:dyDescent="0.25">
      <c r="A595" s="113"/>
      <c r="B595" s="113"/>
      <c r="C595" s="114"/>
      <c r="D595" s="131"/>
      <c r="E595" s="19"/>
      <c r="F595" s="19"/>
      <c r="G595" s="37"/>
      <c r="H595" s="37"/>
      <c r="I595" s="37"/>
      <c r="J595" s="37"/>
    </row>
    <row r="596" spans="1:10" x14ac:dyDescent="0.25">
      <c r="A596" s="113"/>
      <c r="B596" s="113"/>
      <c r="C596" s="114"/>
      <c r="D596" s="131"/>
      <c r="E596" s="19"/>
      <c r="F596" s="19"/>
      <c r="G596" s="37"/>
      <c r="H596" s="37"/>
      <c r="I596" s="37"/>
      <c r="J596" s="37"/>
    </row>
    <row r="597" spans="1:10" x14ac:dyDescent="0.25">
      <c r="A597" s="113"/>
      <c r="B597" s="113"/>
      <c r="C597" s="114"/>
      <c r="D597" s="131"/>
      <c r="E597" s="19"/>
      <c r="F597" s="19"/>
      <c r="G597" s="37"/>
      <c r="H597" s="37"/>
      <c r="I597" s="37"/>
      <c r="J597" s="37"/>
    </row>
    <row r="598" spans="1:10" x14ac:dyDescent="0.25">
      <c r="A598" s="113"/>
      <c r="B598" s="113"/>
      <c r="C598" s="114"/>
      <c r="D598" s="131"/>
      <c r="E598" s="19"/>
      <c r="F598" s="19"/>
      <c r="G598" s="37"/>
      <c r="H598" s="37"/>
      <c r="I598" s="37"/>
      <c r="J598" s="37"/>
    </row>
    <row r="599" spans="1:10" x14ac:dyDescent="0.25">
      <c r="A599" s="113"/>
      <c r="B599" s="113"/>
      <c r="C599" s="114"/>
      <c r="D599" s="131"/>
      <c r="E599" s="19"/>
      <c r="F599" s="19"/>
      <c r="G599" s="37"/>
      <c r="H599" s="37"/>
      <c r="I599" s="37"/>
      <c r="J599" s="37"/>
    </row>
    <row r="600" spans="1:10" x14ac:dyDescent="0.25">
      <c r="A600" s="113"/>
      <c r="B600" s="113"/>
      <c r="C600" s="114"/>
      <c r="D600" s="131"/>
      <c r="E600" s="19"/>
      <c r="F600" s="19"/>
      <c r="G600" s="37"/>
      <c r="H600" s="37"/>
      <c r="I600" s="37"/>
      <c r="J600" s="37"/>
    </row>
    <row r="601" spans="1:10" x14ac:dyDescent="0.25">
      <c r="A601" s="113"/>
      <c r="B601" s="113"/>
      <c r="C601" s="114"/>
      <c r="D601" s="131"/>
      <c r="E601" s="19"/>
      <c r="F601" s="19"/>
      <c r="G601" s="37"/>
      <c r="H601" s="37"/>
      <c r="I601" s="37"/>
      <c r="J601" s="37"/>
    </row>
    <row r="602" spans="1:10" x14ac:dyDescent="0.25">
      <c r="A602" s="113"/>
      <c r="B602" s="113"/>
      <c r="C602" s="114"/>
      <c r="D602" s="131"/>
      <c r="E602" s="19"/>
      <c r="F602" s="19"/>
      <c r="G602" s="37"/>
      <c r="H602" s="37"/>
      <c r="I602" s="37"/>
      <c r="J602" s="37"/>
    </row>
    <row r="603" spans="1:10" x14ac:dyDescent="0.25">
      <c r="A603" s="113"/>
      <c r="B603" s="113"/>
      <c r="C603" s="114"/>
      <c r="D603" s="131"/>
      <c r="E603" s="19"/>
      <c r="F603" s="19"/>
      <c r="G603" s="37"/>
      <c r="H603" s="37"/>
      <c r="I603" s="37"/>
      <c r="J603" s="37"/>
    </row>
    <row r="604" spans="1:10" x14ac:dyDescent="0.25">
      <c r="A604" s="113"/>
      <c r="B604" s="113"/>
      <c r="C604" s="114"/>
      <c r="D604" s="131"/>
      <c r="E604" s="19"/>
      <c r="F604" s="19"/>
      <c r="G604" s="37"/>
      <c r="H604" s="37"/>
      <c r="I604" s="37"/>
      <c r="J604" s="37"/>
    </row>
    <row r="605" spans="1:10" x14ac:dyDescent="0.25">
      <c r="A605" s="113"/>
      <c r="B605" s="113"/>
      <c r="C605" s="114"/>
      <c r="D605" s="131"/>
      <c r="E605" s="19"/>
      <c r="F605" s="19"/>
      <c r="G605" s="37"/>
      <c r="H605" s="37"/>
      <c r="I605" s="37"/>
      <c r="J605" s="37"/>
    </row>
    <row r="606" spans="1:10" x14ac:dyDescent="0.25">
      <c r="A606" s="113"/>
      <c r="B606" s="113"/>
      <c r="C606" s="114"/>
      <c r="D606" s="131"/>
      <c r="E606" s="19"/>
      <c r="F606" s="19"/>
      <c r="G606" s="37"/>
      <c r="H606" s="37"/>
      <c r="I606" s="37"/>
      <c r="J606" s="37"/>
    </row>
    <row r="607" spans="1:10" x14ac:dyDescent="0.25">
      <c r="A607" s="113"/>
      <c r="B607" s="113"/>
      <c r="C607" s="114"/>
      <c r="D607" s="131"/>
      <c r="E607" s="19"/>
      <c r="F607" s="19"/>
      <c r="G607" s="37"/>
      <c r="H607" s="37"/>
      <c r="I607" s="37"/>
      <c r="J607" s="37"/>
    </row>
    <row r="608" spans="1:10" x14ac:dyDescent="0.25">
      <c r="A608" s="113"/>
      <c r="B608" s="113"/>
      <c r="C608" s="114"/>
      <c r="D608" s="131"/>
      <c r="E608" s="19"/>
      <c r="F608" s="19"/>
      <c r="G608" s="37"/>
      <c r="H608" s="37"/>
      <c r="I608" s="37"/>
      <c r="J608" s="37"/>
    </row>
    <row r="609" spans="1:10" x14ac:dyDescent="0.25">
      <c r="A609" s="113"/>
      <c r="B609" s="113"/>
      <c r="C609" s="114"/>
      <c r="D609" s="131"/>
      <c r="E609" s="19"/>
      <c r="F609" s="19"/>
      <c r="G609" s="37"/>
      <c r="H609" s="37"/>
      <c r="I609" s="37"/>
      <c r="J609" s="37"/>
    </row>
    <row r="610" spans="1:10" x14ac:dyDescent="0.25">
      <c r="A610" s="113"/>
      <c r="B610" s="113"/>
      <c r="C610" s="114"/>
      <c r="D610" s="131"/>
      <c r="E610" s="19"/>
      <c r="F610" s="19"/>
      <c r="G610" s="37"/>
      <c r="H610" s="37"/>
      <c r="I610" s="37"/>
      <c r="J610" s="37"/>
    </row>
    <row r="611" spans="1:10" x14ac:dyDescent="0.25">
      <c r="A611" s="113"/>
      <c r="B611" s="113"/>
      <c r="C611" s="114"/>
      <c r="D611" s="131"/>
      <c r="E611" s="19"/>
      <c r="F611" s="19"/>
      <c r="G611" s="37"/>
      <c r="H611" s="37"/>
      <c r="I611" s="37"/>
      <c r="J611" s="37"/>
    </row>
    <row r="612" spans="1:10" x14ac:dyDescent="0.25">
      <c r="A612" s="113"/>
      <c r="B612" s="113"/>
      <c r="C612" s="114"/>
      <c r="D612" s="131"/>
      <c r="E612" s="19"/>
      <c r="F612" s="19"/>
      <c r="G612" s="37"/>
      <c r="H612" s="37"/>
      <c r="I612" s="37"/>
      <c r="J612" s="37"/>
    </row>
    <row r="613" spans="1:10" x14ac:dyDescent="0.25">
      <c r="A613" s="113"/>
      <c r="B613" s="113"/>
      <c r="C613" s="114"/>
      <c r="D613" s="131"/>
      <c r="E613" s="19"/>
      <c r="F613" s="19"/>
      <c r="G613" s="37"/>
      <c r="H613" s="37"/>
      <c r="I613" s="37"/>
      <c r="J613" s="37"/>
    </row>
    <row r="614" spans="1:10" x14ac:dyDescent="0.25">
      <c r="A614" s="113"/>
      <c r="B614" s="113"/>
      <c r="C614" s="114"/>
      <c r="D614" s="131"/>
      <c r="E614" s="19"/>
      <c r="F614" s="19"/>
      <c r="G614" s="37"/>
      <c r="H614" s="37"/>
      <c r="I614" s="37"/>
      <c r="J614" s="37"/>
    </row>
    <row r="615" spans="1:10" x14ac:dyDescent="0.25">
      <c r="A615" s="113"/>
      <c r="B615" s="113"/>
      <c r="C615" s="114"/>
      <c r="D615" s="131"/>
      <c r="E615" s="19"/>
      <c r="F615" s="19"/>
      <c r="G615" s="37"/>
      <c r="H615" s="37"/>
      <c r="I615" s="37"/>
      <c r="J615" s="37"/>
    </row>
    <row r="616" spans="1:10" x14ac:dyDescent="0.25">
      <c r="A616" s="113"/>
      <c r="B616" s="113"/>
      <c r="C616" s="114"/>
      <c r="D616" s="131"/>
      <c r="E616" s="19"/>
      <c r="F616" s="19"/>
      <c r="G616" s="37"/>
      <c r="H616" s="37"/>
      <c r="I616" s="37"/>
      <c r="J616" s="37"/>
    </row>
    <row r="617" spans="1:10" x14ac:dyDescent="0.25">
      <c r="A617" s="113"/>
      <c r="B617" s="113"/>
      <c r="C617" s="114"/>
      <c r="D617" s="131"/>
      <c r="E617" s="19"/>
      <c r="F617" s="19"/>
      <c r="G617" s="37"/>
      <c r="H617" s="37"/>
      <c r="I617" s="37"/>
      <c r="J617" s="37"/>
    </row>
    <row r="618" spans="1:10" x14ac:dyDescent="0.25">
      <c r="A618" s="113"/>
      <c r="B618" s="113"/>
      <c r="C618" s="114"/>
      <c r="D618" s="131"/>
      <c r="E618" s="19"/>
      <c r="F618" s="19"/>
      <c r="G618" s="37"/>
      <c r="H618" s="37"/>
      <c r="I618" s="37"/>
      <c r="J618" s="37"/>
    </row>
    <row r="619" spans="1:10" x14ac:dyDescent="0.25">
      <c r="A619" s="113"/>
      <c r="B619" s="113"/>
      <c r="C619" s="114"/>
      <c r="D619" s="131"/>
      <c r="E619" s="19"/>
      <c r="F619" s="19"/>
      <c r="G619" s="37"/>
      <c r="H619" s="37"/>
      <c r="I619" s="37"/>
      <c r="J619" s="37"/>
    </row>
    <row r="620" spans="1:10" x14ac:dyDescent="0.25">
      <c r="A620" s="113"/>
      <c r="B620" s="113"/>
      <c r="C620" s="114"/>
      <c r="D620" s="131"/>
      <c r="E620" s="19"/>
      <c r="F620" s="19"/>
      <c r="G620" s="37"/>
      <c r="H620" s="37"/>
      <c r="I620" s="37"/>
      <c r="J620" s="37"/>
    </row>
    <row r="621" spans="1:10" x14ac:dyDescent="0.25">
      <c r="A621" s="113"/>
      <c r="B621" s="113"/>
      <c r="C621" s="114"/>
      <c r="D621" s="131"/>
      <c r="E621" s="19"/>
      <c r="F621" s="19"/>
      <c r="G621" s="37"/>
      <c r="H621" s="37"/>
      <c r="I621" s="37"/>
      <c r="J621" s="37"/>
    </row>
    <row r="622" spans="1:10" x14ac:dyDescent="0.25">
      <c r="A622" s="113"/>
      <c r="B622" s="113"/>
      <c r="C622" s="114"/>
      <c r="D622" s="131"/>
      <c r="E622" s="19"/>
      <c r="F622" s="19"/>
      <c r="G622" s="37"/>
      <c r="H622" s="37"/>
      <c r="I622" s="37"/>
      <c r="J622" s="37"/>
    </row>
    <row r="623" spans="1:10" x14ac:dyDescent="0.25">
      <c r="A623" s="113"/>
      <c r="B623" s="113"/>
      <c r="C623" s="114"/>
      <c r="D623" s="131"/>
      <c r="E623" s="19"/>
      <c r="F623" s="19"/>
      <c r="G623" s="37"/>
      <c r="H623" s="37"/>
      <c r="I623" s="37"/>
      <c r="J623" s="37"/>
    </row>
    <row r="624" spans="1:10" x14ac:dyDescent="0.25">
      <c r="A624" s="113"/>
      <c r="B624" s="113"/>
      <c r="C624" s="114"/>
      <c r="D624" s="131"/>
      <c r="E624" s="19"/>
      <c r="F624" s="19"/>
      <c r="G624" s="37"/>
      <c r="H624" s="37"/>
      <c r="I624" s="37"/>
      <c r="J624" s="37"/>
    </row>
    <row r="625" spans="1:10" x14ac:dyDescent="0.25">
      <c r="A625" s="113"/>
      <c r="B625" s="113"/>
      <c r="C625" s="114"/>
      <c r="D625" s="131"/>
      <c r="E625" s="19"/>
      <c r="F625" s="19"/>
      <c r="G625" s="37"/>
      <c r="H625" s="37"/>
      <c r="I625" s="37"/>
      <c r="J625" s="37"/>
    </row>
    <row r="626" spans="1:10" x14ac:dyDescent="0.25">
      <c r="A626" s="113"/>
      <c r="B626" s="113"/>
      <c r="C626" s="114"/>
      <c r="D626" s="131"/>
      <c r="E626" s="19"/>
      <c r="F626" s="19"/>
      <c r="G626" s="37"/>
      <c r="H626" s="37"/>
      <c r="I626" s="37"/>
      <c r="J626" s="37"/>
    </row>
    <row r="627" spans="1:10" x14ac:dyDescent="0.25">
      <c r="A627" s="113"/>
      <c r="B627" s="113"/>
      <c r="C627" s="114"/>
      <c r="D627" s="131"/>
      <c r="E627" s="19"/>
      <c r="F627" s="19"/>
      <c r="G627" s="37"/>
      <c r="H627" s="37"/>
      <c r="I627" s="37"/>
      <c r="J627" s="37"/>
    </row>
    <row r="628" spans="1:10" x14ac:dyDescent="0.25">
      <c r="A628" s="113"/>
      <c r="B628" s="113"/>
      <c r="C628" s="114"/>
      <c r="D628" s="131"/>
      <c r="E628" s="19"/>
      <c r="F628" s="19"/>
      <c r="G628" s="37"/>
      <c r="H628" s="37"/>
      <c r="I628" s="37"/>
      <c r="J628" s="37"/>
    </row>
    <row r="629" spans="1:10" x14ac:dyDescent="0.25">
      <c r="A629" s="113"/>
      <c r="B629" s="113"/>
      <c r="C629" s="114"/>
      <c r="D629" s="131"/>
      <c r="E629" s="19"/>
      <c r="F629" s="19"/>
      <c r="G629" s="37"/>
      <c r="H629" s="37"/>
      <c r="I629" s="37"/>
      <c r="J629" s="37"/>
    </row>
    <row r="630" spans="1:10" x14ac:dyDescent="0.25">
      <c r="A630" s="113"/>
      <c r="B630" s="113"/>
      <c r="C630" s="114"/>
      <c r="D630" s="131"/>
      <c r="E630" s="19"/>
      <c r="F630" s="19"/>
      <c r="G630" s="37"/>
      <c r="H630" s="37"/>
      <c r="I630" s="37"/>
      <c r="J630" s="37"/>
    </row>
    <row r="631" spans="1:10" x14ac:dyDescent="0.25">
      <c r="A631" s="113"/>
      <c r="B631" s="113"/>
      <c r="C631" s="114"/>
      <c r="D631" s="131"/>
      <c r="E631" s="19"/>
      <c r="F631" s="19"/>
      <c r="G631" s="37"/>
      <c r="H631" s="37"/>
      <c r="I631" s="37"/>
      <c r="J631" s="37"/>
    </row>
    <row r="632" spans="1:10" x14ac:dyDescent="0.25">
      <c r="A632" s="113"/>
      <c r="B632" s="113"/>
      <c r="C632" s="114"/>
      <c r="D632" s="131"/>
      <c r="E632" s="19"/>
      <c r="F632" s="19"/>
      <c r="G632" s="37"/>
      <c r="H632" s="37"/>
      <c r="I632" s="37"/>
      <c r="J632" s="37"/>
    </row>
    <row r="633" spans="1:10" x14ac:dyDescent="0.25">
      <c r="A633" s="113"/>
      <c r="B633" s="113"/>
      <c r="C633" s="114"/>
      <c r="D633" s="131"/>
      <c r="E633" s="19"/>
      <c r="F633" s="19"/>
      <c r="G633" s="37"/>
      <c r="H633" s="37"/>
      <c r="I633" s="37"/>
      <c r="J633" s="37"/>
    </row>
    <row r="634" spans="1:10" x14ac:dyDescent="0.25">
      <c r="A634" s="113"/>
      <c r="B634" s="113"/>
      <c r="C634" s="114"/>
      <c r="D634" s="131"/>
      <c r="E634" s="19"/>
      <c r="F634" s="19"/>
      <c r="G634" s="37"/>
      <c r="H634" s="37"/>
      <c r="I634" s="37"/>
      <c r="J634" s="37"/>
    </row>
    <row r="635" spans="1:10" x14ac:dyDescent="0.25">
      <c r="A635" s="113"/>
      <c r="B635" s="113"/>
      <c r="C635" s="114"/>
      <c r="D635" s="131"/>
      <c r="E635" s="19"/>
      <c r="F635" s="19"/>
      <c r="G635" s="37"/>
      <c r="H635" s="37"/>
      <c r="I635" s="37"/>
      <c r="J635" s="37"/>
    </row>
    <row r="636" spans="1:10" x14ac:dyDescent="0.25">
      <c r="A636" s="113"/>
      <c r="B636" s="113"/>
      <c r="C636" s="114"/>
      <c r="D636" s="131"/>
      <c r="E636" s="19"/>
      <c r="F636" s="19"/>
      <c r="G636" s="37"/>
      <c r="H636" s="37"/>
      <c r="I636" s="37"/>
      <c r="J636" s="37"/>
    </row>
    <row r="637" spans="1:10" x14ac:dyDescent="0.25">
      <c r="A637" s="113"/>
      <c r="B637" s="113"/>
      <c r="C637" s="114"/>
      <c r="D637" s="131"/>
      <c r="E637" s="19"/>
      <c r="F637" s="19"/>
      <c r="G637" s="37"/>
      <c r="H637" s="37"/>
      <c r="I637" s="37"/>
      <c r="J637" s="37"/>
    </row>
    <row r="638" spans="1:10" x14ac:dyDescent="0.25">
      <c r="A638" s="113"/>
      <c r="B638" s="113"/>
      <c r="C638" s="114"/>
      <c r="D638" s="131"/>
      <c r="E638" s="19"/>
      <c r="F638" s="19"/>
      <c r="G638" s="37"/>
      <c r="H638" s="37"/>
      <c r="I638" s="37"/>
      <c r="J638" s="37"/>
    </row>
    <row r="639" spans="1:10" x14ac:dyDescent="0.25">
      <c r="A639" s="113"/>
      <c r="B639" s="113"/>
      <c r="C639" s="114"/>
      <c r="D639" s="131"/>
      <c r="E639" s="19"/>
      <c r="F639" s="19"/>
      <c r="G639" s="37"/>
      <c r="H639" s="37"/>
      <c r="I639" s="37"/>
      <c r="J639" s="37"/>
    </row>
    <row r="640" spans="1:10" x14ac:dyDescent="0.25">
      <c r="A640" s="113"/>
      <c r="B640" s="113"/>
      <c r="C640" s="114"/>
      <c r="D640" s="131"/>
      <c r="E640" s="19"/>
      <c r="F640" s="19"/>
      <c r="G640" s="37"/>
      <c r="H640" s="37"/>
      <c r="I640" s="37"/>
      <c r="J640" s="37"/>
    </row>
    <row r="641" spans="1:10" x14ac:dyDescent="0.25">
      <c r="A641" s="113"/>
      <c r="B641" s="113"/>
      <c r="C641" s="114"/>
      <c r="D641" s="131"/>
      <c r="E641" s="19"/>
      <c r="F641" s="19"/>
      <c r="G641" s="37"/>
      <c r="H641" s="37"/>
      <c r="I641" s="37"/>
      <c r="J641" s="37"/>
    </row>
    <row r="642" spans="1:10" x14ac:dyDescent="0.25">
      <c r="A642" s="113"/>
      <c r="B642" s="113"/>
      <c r="C642" s="114"/>
      <c r="D642" s="131"/>
      <c r="E642" s="19"/>
      <c r="F642" s="19"/>
      <c r="G642" s="37"/>
      <c r="H642" s="37"/>
      <c r="I642" s="37"/>
      <c r="J642" s="37"/>
    </row>
    <row r="643" spans="1:10" x14ac:dyDescent="0.25">
      <c r="A643" s="113"/>
      <c r="B643" s="113"/>
      <c r="C643" s="114"/>
      <c r="D643" s="131"/>
      <c r="E643" s="19"/>
      <c r="F643" s="19"/>
      <c r="G643" s="37"/>
      <c r="H643" s="37"/>
      <c r="I643" s="37"/>
      <c r="J643" s="37"/>
    </row>
    <row r="644" spans="1:10" x14ac:dyDescent="0.25">
      <c r="A644" s="113"/>
      <c r="B644" s="113"/>
      <c r="C644" s="114"/>
      <c r="D644" s="131"/>
      <c r="E644" s="19"/>
      <c r="F644" s="19"/>
      <c r="G644" s="37"/>
      <c r="H644" s="37"/>
      <c r="I644" s="37"/>
      <c r="J644" s="37"/>
    </row>
    <row r="645" spans="1:10" x14ac:dyDescent="0.25">
      <c r="A645" s="113"/>
      <c r="B645" s="113"/>
      <c r="C645" s="114"/>
      <c r="D645" s="131"/>
      <c r="E645" s="19"/>
      <c r="F645" s="19"/>
      <c r="G645" s="37"/>
      <c r="H645" s="37"/>
      <c r="I645" s="37"/>
      <c r="J645" s="37"/>
    </row>
    <row r="646" spans="1:10" x14ac:dyDescent="0.25">
      <c r="A646" s="113"/>
      <c r="B646" s="113"/>
      <c r="C646" s="114"/>
      <c r="D646" s="131"/>
      <c r="E646" s="19"/>
      <c r="F646" s="19"/>
      <c r="G646" s="37"/>
      <c r="H646" s="37"/>
      <c r="I646" s="37"/>
      <c r="J646" s="37"/>
    </row>
    <row r="647" spans="1:10" x14ac:dyDescent="0.25">
      <c r="A647" s="113"/>
      <c r="B647" s="113"/>
      <c r="C647" s="114"/>
      <c r="D647" s="131"/>
      <c r="E647" s="19"/>
      <c r="F647" s="19"/>
      <c r="G647" s="37"/>
      <c r="H647" s="37"/>
      <c r="I647" s="37"/>
      <c r="J647" s="37"/>
    </row>
    <row r="648" spans="1:10" x14ac:dyDescent="0.25">
      <c r="A648" s="113"/>
      <c r="B648" s="113"/>
      <c r="C648" s="114"/>
      <c r="D648" s="131"/>
      <c r="E648" s="19"/>
      <c r="F648" s="19"/>
      <c r="G648" s="37"/>
      <c r="H648" s="37"/>
      <c r="I648" s="37"/>
      <c r="J648" s="37"/>
    </row>
    <row r="649" spans="1:10" x14ac:dyDescent="0.25">
      <c r="A649" s="113"/>
      <c r="B649" s="113"/>
      <c r="C649" s="114"/>
      <c r="D649" s="131"/>
      <c r="E649" s="19"/>
      <c r="F649" s="19"/>
      <c r="G649" s="37"/>
      <c r="H649" s="37"/>
      <c r="I649" s="37"/>
      <c r="J649" s="37"/>
    </row>
    <row r="650" spans="1:10" x14ac:dyDescent="0.25">
      <c r="A650" s="113"/>
      <c r="B650" s="113"/>
      <c r="C650" s="114"/>
      <c r="D650" s="131"/>
      <c r="E650" s="19"/>
      <c r="F650" s="19"/>
      <c r="G650" s="37"/>
      <c r="H650" s="37"/>
      <c r="I650" s="37"/>
      <c r="J650" s="37"/>
    </row>
    <row r="651" spans="1:10" x14ac:dyDescent="0.25">
      <c r="A651" s="113"/>
      <c r="B651" s="113"/>
      <c r="C651" s="114"/>
      <c r="D651" s="131"/>
      <c r="E651" s="19"/>
      <c r="F651" s="19"/>
      <c r="G651" s="37"/>
      <c r="H651" s="37"/>
      <c r="I651" s="37"/>
      <c r="J651" s="37"/>
    </row>
    <row r="652" spans="1:10" x14ac:dyDescent="0.25">
      <c r="A652" s="113"/>
      <c r="B652" s="113"/>
      <c r="C652" s="114"/>
      <c r="D652" s="131"/>
      <c r="E652" s="19"/>
      <c r="F652" s="19"/>
      <c r="G652" s="37"/>
      <c r="H652" s="37"/>
      <c r="I652" s="37"/>
      <c r="J652" s="37"/>
    </row>
    <row r="653" spans="1:10" x14ac:dyDescent="0.25">
      <c r="A653" s="113"/>
      <c r="B653" s="113"/>
      <c r="C653" s="114"/>
      <c r="D653" s="131"/>
      <c r="E653" s="19"/>
      <c r="F653" s="19"/>
      <c r="G653" s="37"/>
      <c r="H653" s="37"/>
      <c r="I653" s="37"/>
      <c r="J653" s="37"/>
    </row>
    <row r="654" spans="1:10" x14ac:dyDescent="0.25">
      <c r="A654" s="113"/>
      <c r="B654" s="113"/>
      <c r="C654" s="114"/>
      <c r="D654" s="131"/>
      <c r="E654" s="19"/>
      <c r="F654" s="19"/>
      <c r="G654" s="37"/>
      <c r="H654" s="37"/>
      <c r="I654" s="37"/>
      <c r="J654" s="37"/>
    </row>
    <row r="655" spans="1:10" x14ac:dyDescent="0.25">
      <c r="A655" s="113"/>
      <c r="B655" s="113"/>
      <c r="C655" s="114"/>
      <c r="D655" s="131"/>
      <c r="E655" s="19"/>
      <c r="F655" s="19"/>
      <c r="G655" s="37"/>
      <c r="H655" s="37"/>
      <c r="I655" s="37"/>
      <c r="J655" s="37"/>
    </row>
    <row r="656" spans="1:10" x14ac:dyDescent="0.25">
      <c r="A656" s="113"/>
      <c r="B656" s="113"/>
      <c r="C656" s="114"/>
      <c r="D656" s="131"/>
      <c r="E656" s="19"/>
      <c r="F656" s="19"/>
      <c r="G656" s="37"/>
      <c r="H656" s="37"/>
      <c r="I656" s="37"/>
      <c r="J656" s="37"/>
    </row>
    <row r="657" spans="1:10" x14ac:dyDescent="0.25">
      <c r="A657" s="113"/>
      <c r="B657" s="113"/>
      <c r="C657" s="114"/>
      <c r="D657" s="131"/>
      <c r="E657" s="19"/>
      <c r="F657" s="19"/>
      <c r="G657" s="37"/>
      <c r="H657" s="37"/>
      <c r="I657" s="37"/>
      <c r="J657" s="37"/>
    </row>
    <row r="658" spans="1:10" x14ac:dyDescent="0.25">
      <c r="A658" s="113"/>
      <c r="B658" s="113"/>
      <c r="C658" s="114"/>
      <c r="D658" s="131"/>
      <c r="E658" s="19"/>
      <c r="F658" s="19"/>
      <c r="G658" s="37"/>
      <c r="H658" s="37"/>
      <c r="I658" s="37"/>
      <c r="J658" s="37"/>
    </row>
    <row r="659" spans="1:10" x14ac:dyDescent="0.25">
      <c r="A659" s="113"/>
      <c r="B659" s="113"/>
      <c r="C659" s="114"/>
      <c r="D659" s="131"/>
      <c r="E659" s="19"/>
      <c r="F659" s="19"/>
      <c r="G659" s="37"/>
      <c r="H659" s="37"/>
      <c r="I659" s="37"/>
      <c r="J659" s="37"/>
    </row>
    <row r="660" spans="1:10" x14ac:dyDescent="0.25">
      <c r="A660" s="113"/>
      <c r="B660" s="113"/>
      <c r="C660" s="114"/>
      <c r="D660" s="131"/>
      <c r="E660" s="19"/>
      <c r="F660" s="19"/>
      <c r="G660" s="37"/>
      <c r="H660" s="37"/>
      <c r="I660" s="37"/>
      <c r="J660" s="37"/>
    </row>
    <row r="661" spans="1:10" x14ac:dyDescent="0.25">
      <c r="A661" s="113"/>
      <c r="B661" s="113"/>
      <c r="C661" s="114"/>
      <c r="D661" s="131"/>
      <c r="E661" s="19"/>
      <c r="F661" s="19"/>
      <c r="G661" s="37"/>
      <c r="H661" s="37"/>
      <c r="I661" s="37"/>
      <c r="J661" s="37"/>
    </row>
    <row r="662" spans="1:10" x14ac:dyDescent="0.25">
      <c r="A662" s="113"/>
      <c r="B662" s="113"/>
      <c r="C662" s="114"/>
      <c r="D662" s="131"/>
      <c r="E662" s="19"/>
      <c r="F662" s="19"/>
      <c r="G662" s="37"/>
      <c r="H662" s="37"/>
      <c r="I662" s="37"/>
      <c r="J662" s="37"/>
    </row>
    <row r="663" spans="1:10" x14ac:dyDescent="0.25">
      <c r="A663" s="113"/>
      <c r="B663" s="113"/>
      <c r="C663" s="114"/>
      <c r="D663" s="131"/>
      <c r="E663" s="19"/>
      <c r="F663" s="19"/>
      <c r="G663" s="37"/>
      <c r="H663" s="37"/>
      <c r="I663" s="37"/>
      <c r="J663" s="37"/>
    </row>
    <row r="664" spans="1:10" x14ac:dyDescent="0.25">
      <c r="A664" s="113"/>
      <c r="B664" s="113"/>
      <c r="C664" s="114"/>
      <c r="D664" s="131"/>
      <c r="E664" s="19"/>
      <c r="F664" s="19"/>
      <c r="G664" s="37"/>
      <c r="H664" s="37"/>
      <c r="I664" s="37"/>
      <c r="J664" s="37"/>
    </row>
    <row r="665" spans="1:10" x14ac:dyDescent="0.25">
      <c r="A665" s="113"/>
      <c r="B665" s="113"/>
      <c r="C665" s="114"/>
      <c r="D665" s="131"/>
      <c r="E665" s="19"/>
      <c r="F665" s="19"/>
      <c r="G665" s="37"/>
      <c r="H665" s="37"/>
      <c r="I665" s="37"/>
      <c r="J665" s="37"/>
    </row>
    <row r="666" spans="1:10" x14ac:dyDescent="0.25">
      <c r="A666" s="113"/>
      <c r="B666" s="113"/>
      <c r="C666" s="114"/>
      <c r="D666" s="131"/>
      <c r="E666" s="19"/>
      <c r="F666" s="19"/>
      <c r="G666" s="37"/>
      <c r="H666" s="37"/>
      <c r="I666" s="37"/>
      <c r="J666" s="37"/>
    </row>
    <row r="667" spans="1:10" x14ac:dyDescent="0.25">
      <c r="A667" s="113"/>
      <c r="B667" s="113"/>
      <c r="C667" s="114"/>
      <c r="D667" s="131"/>
      <c r="E667" s="19"/>
      <c r="F667" s="19"/>
      <c r="G667" s="37"/>
      <c r="H667" s="37"/>
      <c r="I667" s="37"/>
      <c r="J667" s="37"/>
    </row>
    <row r="668" spans="1:10" x14ac:dyDescent="0.25">
      <c r="A668" s="113"/>
      <c r="B668" s="113"/>
      <c r="C668" s="114"/>
      <c r="D668" s="131"/>
      <c r="E668" s="19"/>
      <c r="F668" s="19"/>
      <c r="G668" s="37"/>
      <c r="H668" s="37"/>
      <c r="I668" s="37"/>
      <c r="J668" s="37"/>
    </row>
    <row r="669" spans="1:10" x14ac:dyDescent="0.25">
      <c r="A669" s="113"/>
      <c r="B669" s="113"/>
      <c r="C669" s="114"/>
      <c r="D669" s="131"/>
      <c r="E669" s="19"/>
      <c r="F669" s="19"/>
      <c r="G669" s="37"/>
      <c r="H669" s="37"/>
      <c r="I669" s="37"/>
      <c r="J669" s="37"/>
    </row>
    <row r="670" spans="1:10" x14ac:dyDescent="0.25">
      <c r="A670" s="113"/>
      <c r="B670" s="113"/>
      <c r="C670" s="114"/>
      <c r="D670" s="131"/>
      <c r="E670" s="19"/>
      <c r="F670" s="19"/>
      <c r="G670" s="37"/>
      <c r="H670" s="37"/>
      <c r="I670" s="37"/>
      <c r="J670" s="37"/>
    </row>
    <row r="671" spans="1:10" x14ac:dyDescent="0.25">
      <c r="A671" s="113"/>
      <c r="B671" s="113"/>
      <c r="C671" s="114"/>
      <c r="D671" s="131"/>
      <c r="E671" s="19"/>
      <c r="F671" s="19"/>
      <c r="G671" s="37"/>
      <c r="H671" s="37"/>
      <c r="I671" s="37"/>
      <c r="J671" s="37"/>
    </row>
    <row r="672" spans="1:10" x14ac:dyDescent="0.25">
      <c r="A672" s="113"/>
      <c r="B672" s="113"/>
      <c r="C672" s="114"/>
      <c r="D672" s="131"/>
      <c r="E672" s="19"/>
      <c r="F672" s="19"/>
      <c r="G672" s="37"/>
      <c r="H672" s="37"/>
      <c r="I672" s="37"/>
      <c r="J672" s="37"/>
    </row>
    <row r="673" spans="1:10" x14ac:dyDescent="0.25">
      <c r="A673" s="113"/>
      <c r="B673" s="113"/>
      <c r="C673" s="114"/>
      <c r="D673" s="131"/>
      <c r="E673" s="19"/>
      <c r="F673" s="19"/>
      <c r="G673" s="37"/>
      <c r="H673" s="37"/>
      <c r="I673" s="37"/>
      <c r="J673" s="37"/>
    </row>
    <row r="674" spans="1:10" x14ac:dyDescent="0.25">
      <c r="A674" s="113"/>
      <c r="B674" s="113"/>
      <c r="C674" s="114"/>
      <c r="D674" s="131"/>
      <c r="E674" s="19"/>
      <c r="F674" s="19"/>
      <c r="G674" s="37"/>
      <c r="H674" s="37"/>
      <c r="I674" s="37"/>
      <c r="J674" s="37"/>
    </row>
    <row r="675" spans="1:10" x14ac:dyDescent="0.25">
      <c r="A675" s="113"/>
      <c r="B675" s="113"/>
      <c r="C675" s="114"/>
      <c r="D675" s="131"/>
      <c r="E675" s="19"/>
      <c r="F675" s="19"/>
      <c r="G675" s="37"/>
      <c r="H675" s="37"/>
      <c r="I675" s="37"/>
      <c r="J675" s="37"/>
    </row>
    <row r="676" spans="1:10" x14ac:dyDescent="0.25">
      <c r="A676" s="113"/>
      <c r="B676" s="113"/>
      <c r="C676" s="114"/>
      <c r="D676" s="131"/>
      <c r="E676" s="19"/>
      <c r="F676" s="19"/>
      <c r="G676" s="37"/>
      <c r="H676" s="37"/>
      <c r="I676" s="37"/>
      <c r="J676" s="37"/>
    </row>
    <row r="677" spans="1:10" x14ac:dyDescent="0.25">
      <c r="A677" s="113"/>
      <c r="B677" s="113"/>
      <c r="C677" s="114"/>
      <c r="D677" s="131"/>
      <c r="E677" s="19"/>
      <c r="F677" s="19"/>
      <c r="G677" s="37"/>
      <c r="H677" s="37"/>
      <c r="I677" s="37"/>
      <c r="J677" s="37"/>
    </row>
    <row r="678" spans="1:10" x14ac:dyDescent="0.25">
      <c r="A678" s="113"/>
      <c r="B678" s="113"/>
      <c r="C678" s="114"/>
      <c r="D678" s="131"/>
      <c r="E678" s="19"/>
      <c r="F678" s="19"/>
      <c r="G678" s="37"/>
      <c r="H678" s="37"/>
      <c r="I678" s="37"/>
      <c r="J678" s="37"/>
    </row>
    <row r="679" spans="1:10" x14ac:dyDescent="0.25">
      <c r="A679" s="113"/>
      <c r="B679" s="113"/>
      <c r="C679" s="114"/>
      <c r="D679" s="131"/>
      <c r="E679" s="19"/>
      <c r="F679" s="19"/>
      <c r="G679" s="37"/>
      <c r="H679" s="37"/>
      <c r="I679" s="37"/>
      <c r="J679" s="37"/>
    </row>
    <row r="680" spans="1:10" x14ac:dyDescent="0.25">
      <c r="A680" s="113"/>
      <c r="B680" s="113"/>
      <c r="C680" s="114"/>
      <c r="D680" s="131"/>
      <c r="E680" s="19"/>
      <c r="F680" s="19"/>
      <c r="G680" s="37"/>
      <c r="H680" s="37"/>
      <c r="I680" s="37"/>
      <c r="J680" s="37"/>
    </row>
    <row r="681" spans="1:10" x14ac:dyDescent="0.25">
      <c r="A681" s="113"/>
      <c r="B681" s="113"/>
      <c r="C681" s="114"/>
      <c r="D681" s="131"/>
      <c r="E681" s="19"/>
      <c r="F681" s="19"/>
      <c r="G681" s="37"/>
      <c r="H681" s="37"/>
      <c r="I681" s="37"/>
      <c r="J681" s="37"/>
    </row>
    <row r="682" spans="1:10" x14ac:dyDescent="0.25">
      <c r="A682" s="113"/>
      <c r="B682" s="113"/>
      <c r="C682" s="114"/>
      <c r="D682" s="131"/>
      <c r="E682" s="19"/>
      <c r="F682" s="19"/>
      <c r="G682" s="37"/>
      <c r="H682" s="37"/>
      <c r="I682" s="37"/>
      <c r="J682" s="37"/>
    </row>
    <row r="683" spans="1:10" x14ac:dyDescent="0.25">
      <c r="A683" s="113"/>
      <c r="B683" s="113"/>
      <c r="C683" s="114"/>
      <c r="D683" s="131"/>
      <c r="E683" s="19"/>
      <c r="F683" s="19"/>
      <c r="G683" s="37"/>
      <c r="H683" s="37"/>
      <c r="I683" s="37"/>
      <c r="J683" s="37"/>
    </row>
    <row r="684" spans="1:10" x14ac:dyDescent="0.25">
      <c r="A684" s="113"/>
      <c r="B684" s="113"/>
      <c r="C684" s="114"/>
      <c r="D684" s="131"/>
      <c r="E684" s="19"/>
      <c r="F684" s="19"/>
      <c r="G684" s="37"/>
      <c r="H684" s="37"/>
      <c r="I684" s="37"/>
      <c r="J684" s="37"/>
    </row>
    <row r="685" spans="1:10" x14ac:dyDescent="0.25">
      <c r="A685" s="113"/>
      <c r="B685" s="113"/>
      <c r="C685" s="114"/>
      <c r="D685" s="131"/>
      <c r="E685" s="19"/>
      <c r="F685" s="19"/>
      <c r="G685" s="37"/>
      <c r="H685" s="37"/>
      <c r="I685" s="37"/>
      <c r="J685" s="37"/>
    </row>
    <row r="686" spans="1:10" x14ac:dyDescent="0.25">
      <c r="A686" s="113"/>
      <c r="B686" s="113"/>
      <c r="C686" s="114"/>
      <c r="D686" s="131"/>
      <c r="E686" s="19"/>
      <c r="F686" s="19"/>
      <c r="G686" s="37"/>
      <c r="H686" s="37"/>
      <c r="I686" s="37"/>
      <c r="J686" s="37"/>
    </row>
    <row r="687" spans="1:10" x14ac:dyDescent="0.25">
      <c r="A687" s="113"/>
      <c r="B687" s="113"/>
      <c r="C687" s="114"/>
      <c r="D687" s="131"/>
      <c r="E687" s="19"/>
      <c r="F687" s="19"/>
      <c r="G687" s="37"/>
      <c r="H687" s="37"/>
      <c r="I687" s="37"/>
      <c r="J687" s="37"/>
    </row>
    <row r="688" spans="1:10" x14ac:dyDescent="0.25">
      <c r="A688" s="113"/>
      <c r="B688" s="113"/>
      <c r="C688" s="114"/>
      <c r="D688" s="131"/>
      <c r="E688" s="19"/>
      <c r="F688" s="19"/>
      <c r="G688" s="37"/>
      <c r="H688" s="37"/>
      <c r="I688" s="37"/>
      <c r="J688" s="37"/>
    </row>
    <row r="689" spans="1:10" x14ac:dyDescent="0.25">
      <c r="A689" s="113"/>
      <c r="B689" s="113"/>
      <c r="C689" s="114"/>
      <c r="D689" s="131"/>
      <c r="E689" s="19"/>
      <c r="F689" s="19"/>
      <c r="G689" s="37"/>
      <c r="H689" s="37"/>
      <c r="I689" s="37"/>
      <c r="J689" s="37"/>
    </row>
    <row r="690" spans="1:10" x14ac:dyDescent="0.25">
      <c r="A690" s="113"/>
      <c r="B690" s="113"/>
      <c r="C690" s="114"/>
      <c r="D690" s="131"/>
      <c r="E690" s="19"/>
      <c r="F690" s="19"/>
      <c r="G690" s="37"/>
      <c r="H690" s="37"/>
      <c r="I690" s="37"/>
      <c r="J690" s="37"/>
    </row>
    <row r="691" spans="1:10" x14ac:dyDescent="0.25">
      <c r="A691" s="113"/>
      <c r="B691" s="113"/>
      <c r="C691" s="114"/>
      <c r="D691" s="131"/>
      <c r="E691" s="19"/>
      <c r="F691" s="19"/>
      <c r="G691" s="37"/>
      <c r="H691" s="37"/>
      <c r="I691" s="37"/>
      <c r="J691" s="37"/>
    </row>
    <row r="692" spans="1:10" x14ac:dyDescent="0.25">
      <c r="A692" s="113"/>
      <c r="B692" s="113"/>
      <c r="C692" s="114"/>
      <c r="D692" s="131"/>
      <c r="E692" s="19"/>
      <c r="F692" s="19"/>
      <c r="G692" s="37"/>
      <c r="H692" s="37"/>
      <c r="I692" s="37"/>
      <c r="J692" s="37"/>
    </row>
    <row r="693" spans="1:10" x14ac:dyDescent="0.25">
      <c r="A693" s="113"/>
      <c r="B693" s="113"/>
      <c r="C693" s="114"/>
      <c r="D693" s="131"/>
      <c r="E693" s="19"/>
      <c r="F693" s="19"/>
      <c r="G693" s="37"/>
      <c r="H693" s="37"/>
      <c r="I693" s="37"/>
      <c r="J693" s="37"/>
    </row>
    <row r="694" spans="1:10" x14ac:dyDescent="0.25">
      <c r="A694" s="113"/>
      <c r="B694" s="113"/>
      <c r="C694" s="114"/>
      <c r="D694" s="131"/>
      <c r="E694" s="19"/>
      <c r="F694" s="19"/>
      <c r="G694" s="37"/>
      <c r="H694" s="37"/>
      <c r="I694" s="37"/>
      <c r="J694" s="37"/>
    </row>
    <row r="695" spans="1:10" x14ac:dyDescent="0.25">
      <c r="A695" s="113"/>
      <c r="B695" s="113"/>
      <c r="C695" s="114"/>
      <c r="D695" s="131"/>
      <c r="E695" s="19"/>
      <c r="F695" s="19"/>
      <c r="G695" s="37"/>
      <c r="H695" s="37"/>
      <c r="I695" s="37"/>
      <c r="J695" s="37"/>
    </row>
    <row r="696" spans="1:10" x14ac:dyDescent="0.25">
      <c r="A696" s="113"/>
      <c r="B696" s="113"/>
      <c r="C696" s="114"/>
      <c r="D696" s="131"/>
      <c r="E696" s="19"/>
      <c r="F696" s="19"/>
      <c r="G696" s="37"/>
      <c r="H696" s="37"/>
      <c r="I696" s="37"/>
      <c r="J696" s="37"/>
    </row>
    <row r="697" spans="1:10" x14ac:dyDescent="0.25">
      <c r="A697" s="113"/>
      <c r="B697" s="113"/>
      <c r="C697" s="114"/>
      <c r="D697" s="131"/>
      <c r="E697" s="19"/>
      <c r="F697" s="19"/>
      <c r="G697" s="37"/>
      <c r="H697" s="37"/>
      <c r="I697" s="37"/>
      <c r="J697" s="37"/>
    </row>
    <row r="698" spans="1:10" x14ac:dyDescent="0.25">
      <c r="A698" s="113"/>
      <c r="B698" s="113"/>
      <c r="C698" s="114"/>
      <c r="D698" s="131"/>
      <c r="E698" s="19"/>
      <c r="F698" s="19"/>
      <c r="G698" s="37"/>
      <c r="H698" s="37"/>
      <c r="I698" s="37"/>
      <c r="J698" s="37"/>
    </row>
    <row r="699" spans="1:10" x14ac:dyDescent="0.25">
      <c r="A699" s="113"/>
      <c r="B699" s="113"/>
      <c r="C699" s="114"/>
      <c r="D699" s="131"/>
      <c r="E699" s="19"/>
      <c r="F699" s="19"/>
      <c r="G699" s="37"/>
      <c r="H699" s="37"/>
      <c r="I699" s="37"/>
      <c r="J699" s="37"/>
    </row>
    <row r="700" spans="1:10" x14ac:dyDescent="0.25">
      <c r="A700" s="113"/>
      <c r="B700" s="113"/>
      <c r="C700" s="114"/>
      <c r="D700" s="131"/>
      <c r="E700" s="19"/>
      <c r="F700" s="19"/>
      <c r="G700" s="37"/>
      <c r="H700" s="37"/>
      <c r="I700" s="37"/>
      <c r="J700" s="37"/>
    </row>
    <row r="701" spans="1:10" x14ac:dyDescent="0.25">
      <c r="A701" s="113"/>
      <c r="B701" s="113"/>
      <c r="C701" s="114"/>
      <c r="D701" s="131"/>
      <c r="E701" s="19"/>
      <c r="F701" s="19"/>
      <c r="G701" s="37"/>
      <c r="H701" s="37"/>
      <c r="I701" s="37"/>
      <c r="J701" s="37"/>
    </row>
    <row r="702" spans="1:10" x14ac:dyDescent="0.25">
      <c r="A702" s="113"/>
      <c r="B702" s="113"/>
      <c r="C702" s="114"/>
      <c r="D702" s="131"/>
      <c r="E702" s="19"/>
      <c r="F702" s="19"/>
      <c r="G702" s="37"/>
      <c r="H702" s="37"/>
      <c r="I702" s="37"/>
      <c r="J702" s="37"/>
    </row>
    <row r="703" spans="1:10" x14ac:dyDescent="0.25">
      <c r="A703" s="113"/>
      <c r="B703" s="113"/>
      <c r="C703" s="114"/>
      <c r="D703" s="131"/>
      <c r="E703" s="19"/>
      <c r="F703" s="19"/>
      <c r="G703" s="37"/>
      <c r="H703" s="37"/>
      <c r="I703" s="37"/>
      <c r="J703" s="37"/>
    </row>
    <row r="704" spans="1:10" x14ac:dyDescent="0.25">
      <c r="A704" s="113"/>
      <c r="B704" s="113"/>
      <c r="C704" s="114"/>
      <c r="D704" s="131"/>
      <c r="E704" s="19"/>
      <c r="F704" s="19"/>
      <c r="G704" s="37"/>
      <c r="H704" s="37"/>
      <c r="I704" s="37"/>
      <c r="J704" s="37"/>
    </row>
    <row r="705" spans="1:10" x14ac:dyDescent="0.25">
      <c r="A705" s="113"/>
      <c r="B705" s="113"/>
      <c r="C705" s="114"/>
      <c r="D705" s="131"/>
      <c r="E705" s="19"/>
      <c r="F705" s="19"/>
      <c r="G705" s="37"/>
      <c r="H705" s="37"/>
      <c r="I705" s="37"/>
      <c r="J705" s="37"/>
    </row>
    <row r="706" spans="1:10" x14ac:dyDescent="0.25">
      <c r="A706" s="113"/>
      <c r="B706" s="113"/>
      <c r="C706" s="114"/>
      <c r="D706" s="131"/>
      <c r="E706" s="19"/>
      <c r="F706" s="19"/>
      <c r="G706" s="37"/>
      <c r="H706" s="37"/>
      <c r="I706" s="37"/>
      <c r="J706" s="37"/>
    </row>
    <row r="707" spans="1:10" x14ac:dyDescent="0.25">
      <c r="A707" s="113"/>
      <c r="B707" s="113"/>
      <c r="C707" s="114"/>
      <c r="D707" s="131"/>
      <c r="E707" s="19"/>
      <c r="F707" s="19"/>
      <c r="G707" s="37"/>
      <c r="H707" s="37"/>
      <c r="I707" s="37"/>
      <c r="J707" s="37"/>
    </row>
    <row r="708" spans="1:10" x14ac:dyDescent="0.25">
      <c r="A708" s="113"/>
      <c r="B708" s="113"/>
      <c r="C708" s="114"/>
      <c r="D708" s="131"/>
      <c r="E708" s="19"/>
      <c r="F708" s="19"/>
      <c r="G708" s="37"/>
      <c r="H708" s="37"/>
      <c r="I708" s="37"/>
      <c r="J708" s="37"/>
    </row>
    <row r="709" spans="1:10" x14ac:dyDescent="0.25">
      <c r="A709" s="113"/>
      <c r="B709" s="113"/>
      <c r="C709" s="114"/>
      <c r="D709" s="131"/>
      <c r="E709" s="19"/>
      <c r="F709" s="19"/>
      <c r="G709" s="37"/>
      <c r="H709" s="37"/>
      <c r="I709" s="37"/>
      <c r="J709" s="37"/>
    </row>
    <row r="710" spans="1:10" x14ac:dyDescent="0.25">
      <c r="A710" s="113"/>
      <c r="B710" s="113"/>
      <c r="C710" s="114"/>
      <c r="D710" s="131"/>
      <c r="E710" s="19"/>
      <c r="F710" s="19"/>
      <c r="G710" s="37"/>
      <c r="H710" s="37"/>
      <c r="I710" s="37"/>
      <c r="J710" s="37"/>
    </row>
    <row r="711" spans="1:10" x14ac:dyDescent="0.25">
      <c r="A711" s="113"/>
      <c r="B711" s="113"/>
      <c r="C711" s="114"/>
      <c r="D711" s="131"/>
      <c r="E711" s="19"/>
      <c r="F711" s="19"/>
      <c r="G711" s="37"/>
      <c r="H711" s="37"/>
      <c r="I711" s="37"/>
      <c r="J711" s="37"/>
    </row>
    <row r="712" spans="1:10" x14ac:dyDescent="0.25">
      <c r="A712" s="113"/>
      <c r="B712" s="113"/>
      <c r="C712" s="114"/>
      <c r="D712" s="131"/>
      <c r="E712" s="19"/>
      <c r="F712" s="19"/>
      <c r="G712" s="37"/>
      <c r="H712" s="37"/>
      <c r="I712" s="37"/>
      <c r="J712" s="37"/>
    </row>
    <row r="713" spans="1:10" x14ac:dyDescent="0.25">
      <c r="A713" s="113"/>
      <c r="B713" s="113"/>
      <c r="C713" s="114"/>
      <c r="D713" s="131"/>
      <c r="E713" s="19"/>
      <c r="F713" s="19"/>
      <c r="G713" s="37"/>
      <c r="H713" s="37"/>
      <c r="I713" s="37"/>
      <c r="J713" s="37"/>
    </row>
    <row r="714" spans="1:10" x14ac:dyDescent="0.25">
      <c r="A714" s="113"/>
      <c r="B714" s="113"/>
      <c r="C714" s="114"/>
      <c r="D714" s="131"/>
      <c r="E714" s="19"/>
      <c r="F714" s="19"/>
      <c r="G714" s="37"/>
      <c r="H714" s="37"/>
      <c r="I714" s="37"/>
      <c r="J714" s="37"/>
    </row>
    <row r="715" spans="1:10" x14ac:dyDescent="0.25">
      <c r="A715" s="113"/>
      <c r="B715" s="113"/>
      <c r="C715" s="114"/>
      <c r="D715" s="131"/>
      <c r="E715" s="19"/>
      <c r="F715" s="19"/>
      <c r="G715" s="37"/>
      <c r="H715" s="37"/>
      <c r="I715" s="37"/>
      <c r="J715" s="37"/>
    </row>
    <row r="716" spans="1:10" x14ac:dyDescent="0.25">
      <c r="A716" s="113"/>
      <c r="B716" s="113"/>
      <c r="C716" s="114"/>
      <c r="D716" s="131"/>
      <c r="E716" s="19"/>
      <c r="F716" s="19"/>
      <c r="G716" s="37"/>
      <c r="H716" s="37"/>
      <c r="I716" s="37"/>
      <c r="J716" s="37"/>
    </row>
    <row r="717" spans="1:10" x14ac:dyDescent="0.25">
      <c r="A717" s="113"/>
      <c r="B717" s="113"/>
      <c r="C717" s="114"/>
      <c r="D717" s="131"/>
      <c r="E717" s="19"/>
      <c r="F717" s="19"/>
      <c r="G717" s="37"/>
      <c r="H717" s="37"/>
      <c r="I717" s="37"/>
      <c r="J717" s="37"/>
    </row>
    <row r="718" spans="1:10" x14ac:dyDescent="0.25">
      <c r="A718" s="113"/>
      <c r="B718" s="113"/>
      <c r="C718" s="114"/>
      <c r="D718" s="131"/>
      <c r="E718" s="19"/>
      <c r="F718" s="19"/>
      <c r="G718" s="37"/>
      <c r="H718" s="37"/>
      <c r="I718" s="37"/>
      <c r="J718" s="37"/>
    </row>
    <row r="719" spans="1:10" x14ac:dyDescent="0.25">
      <c r="A719" s="113"/>
      <c r="B719" s="113"/>
      <c r="C719" s="114"/>
      <c r="D719" s="131"/>
      <c r="E719" s="19"/>
      <c r="F719" s="19"/>
      <c r="G719" s="37"/>
      <c r="H719" s="37"/>
      <c r="I719" s="37"/>
      <c r="J719" s="37"/>
    </row>
    <row r="720" spans="1:10" x14ac:dyDescent="0.25">
      <c r="A720" s="113"/>
      <c r="B720" s="113"/>
      <c r="C720" s="114"/>
      <c r="D720" s="131"/>
      <c r="E720" s="19"/>
      <c r="F720" s="19"/>
      <c r="G720" s="37"/>
      <c r="H720" s="37"/>
      <c r="I720" s="37"/>
      <c r="J720" s="37"/>
    </row>
    <row r="721" spans="1:10" x14ac:dyDescent="0.25">
      <c r="A721" s="113"/>
      <c r="B721" s="113"/>
      <c r="C721" s="114"/>
      <c r="D721" s="131"/>
      <c r="E721" s="19"/>
      <c r="F721" s="19"/>
      <c r="G721" s="37"/>
      <c r="H721" s="37"/>
      <c r="I721" s="37"/>
      <c r="J721" s="37"/>
    </row>
    <row r="722" spans="1:10" x14ac:dyDescent="0.25">
      <c r="A722" s="113"/>
      <c r="B722" s="113"/>
      <c r="C722" s="114"/>
      <c r="D722" s="131"/>
      <c r="E722" s="19"/>
      <c r="F722" s="19"/>
      <c r="G722" s="37"/>
      <c r="H722" s="37"/>
      <c r="I722" s="37"/>
      <c r="J722" s="37"/>
    </row>
    <row r="723" spans="1:10" x14ac:dyDescent="0.25">
      <c r="A723" s="113"/>
      <c r="B723" s="113"/>
      <c r="C723" s="114"/>
      <c r="D723" s="131"/>
      <c r="E723" s="19"/>
      <c r="F723" s="19"/>
      <c r="G723" s="37"/>
      <c r="H723" s="37"/>
      <c r="I723" s="37"/>
      <c r="J723" s="37"/>
    </row>
    <row r="724" spans="1:10" x14ac:dyDescent="0.25">
      <c r="A724" s="113"/>
      <c r="B724" s="113"/>
      <c r="C724" s="114"/>
      <c r="D724" s="131"/>
      <c r="E724" s="19"/>
      <c r="F724" s="19"/>
      <c r="G724" s="37"/>
      <c r="H724" s="37"/>
      <c r="I724" s="37"/>
      <c r="J724" s="37"/>
    </row>
    <row r="725" spans="1:10" x14ac:dyDescent="0.25">
      <c r="A725" s="113"/>
      <c r="B725" s="113"/>
      <c r="C725" s="114"/>
      <c r="D725" s="131"/>
      <c r="E725" s="19"/>
      <c r="F725" s="19"/>
      <c r="G725" s="37"/>
      <c r="H725" s="37"/>
      <c r="I725" s="37"/>
      <c r="J725" s="37"/>
    </row>
    <row r="726" spans="1:10" x14ac:dyDescent="0.25">
      <c r="A726" s="113"/>
      <c r="B726" s="113"/>
      <c r="C726" s="114"/>
      <c r="D726" s="131"/>
      <c r="E726" s="19"/>
      <c r="F726" s="19"/>
      <c r="G726" s="37"/>
      <c r="H726" s="37"/>
      <c r="I726" s="37"/>
      <c r="J726" s="37"/>
    </row>
    <row r="727" spans="1:10" x14ac:dyDescent="0.25">
      <c r="A727" s="113"/>
      <c r="B727" s="113"/>
      <c r="C727" s="114"/>
      <c r="D727" s="131"/>
      <c r="E727" s="19"/>
      <c r="F727" s="19"/>
      <c r="G727" s="37"/>
      <c r="H727" s="37"/>
      <c r="I727" s="37"/>
      <c r="J727" s="37"/>
    </row>
    <row r="728" spans="1:10" x14ac:dyDescent="0.25">
      <c r="A728" s="113"/>
      <c r="B728" s="113"/>
      <c r="C728" s="114"/>
      <c r="D728" s="131"/>
      <c r="E728" s="19"/>
      <c r="F728" s="19"/>
      <c r="G728" s="37"/>
      <c r="H728" s="37"/>
      <c r="I728" s="37"/>
      <c r="J728" s="37"/>
    </row>
    <row r="729" spans="1:10" x14ac:dyDescent="0.25">
      <c r="A729" s="113"/>
      <c r="B729" s="113"/>
      <c r="C729" s="114"/>
      <c r="D729" s="131"/>
      <c r="E729" s="19"/>
      <c r="F729" s="19"/>
      <c r="G729" s="37"/>
      <c r="H729" s="37"/>
      <c r="I729" s="37"/>
      <c r="J729" s="37"/>
    </row>
    <row r="730" spans="1:10" x14ac:dyDescent="0.25">
      <c r="A730" s="113"/>
      <c r="B730" s="113"/>
      <c r="C730" s="114"/>
      <c r="D730" s="131"/>
      <c r="E730" s="19"/>
      <c r="F730" s="19"/>
      <c r="G730" s="37"/>
      <c r="H730" s="37"/>
      <c r="I730" s="37"/>
      <c r="J730" s="37"/>
    </row>
    <row r="731" spans="1:10" x14ac:dyDescent="0.25">
      <c r="A731" s="113"/>
      <c r="B731" s="113"/>
      <c r="C731" s="114"/>
      <c r="D731" s="131"/>
      <c r="E731" s="19"/>
      <c r="F731" s="19"/>
      <c r="G731" s="37"/>
      <c r="H731" s="37"/>
      <c r="I731" s="37"/>
      <c r="J731" s="37"/>
    </row>
    <row r="732" spans="1:10" x14ac:dyDescent="0.25">
      <c r="A732" s="113"/>
      <c r="B732" s="113"/>
      <c r="C732" s="114"/>
      <c r="D732" s="131"/>
      <c r="E732" s="19"/>
      <c r="F732" s="19"/>
      <c r="G732" s="37"/>
      <c r="H732" s="37"/>
      <c r="I732" s="37"/>
      <c r="J732" s="37"/>
    </row>
    <row r="733" spans="1:10" x14ac:dyDescent="0.25">
      <c r="A733" s="113"/>
      <c r="B733" s="113"/>
      <c r="C733" s="114"/>
      <c r="D733" s="131"/>
      <c r="E733" s="19"/>
      <c r="F733" s="19"/>
      <c r="G733" s="37"/>
      <c r="H733" s="37"/>
      <c r="I733" s="37"/>
      <c r="J733" s="37"/>
    </row>
    <row r="734" spans="1:10" x14ac:dyDescent="0.25">
      <c r="A734" s="113"/>
      <c r="B734" s="113"/>
      <c r="C734" s="114"/>
      <c r="D734" s="131"/>
      <c r="E734" s="19"/>
      <c r="F734" s="19"/>
      <c r="G734" s="37"/>
      <c r="H734" s="37"/>
      <c r="I734" s="37"/>
      <c r="J734" s="37"/>
    </row>
    <row r="735" spans="1:10" x14ac:dyDescent="0.25">
      <c r="A735" s="113"/>
      <c r="B735" s="113"/>
      <c r="C735" s="114"/>
      <c r="D735" s="131"/>
      <c r="E735" s="19"/>
      <c r="F735" s="19"/>
      <c r="G735" s="37"/>
      <c r="H735" s="37"/>
      <c r="I735" s="37"/>
      <c r="J735" s="37"/>
    </row>
    <row r="736" spans="1:10" x14ac:dyDescent="0.25">
      <c r="A736" s="113"/>
      <c r="B736" s="113"/>
      <c r="C736" s="114"/>
      <c r="D736" s="131"/>
      <c r="E736" s="19"/>
      <c r="F736" s="19"/>
      <c r="G736" s="37"/>
      <c r="H736" s="37"/>
      <c r="I736" s="37"/>
      <c r="J736" s="37"/>
    </row>
    <row r="737" spans="1:10" x14ac:dyDescent="0.25">
      <c r="A737" s="113"/>
      <c r="B737" s="113"/>
      <c r="C737" s="114"/>
      <c r="D737" s="131"/>
      <c r="E737" s="19"/>
      <c r="F737" s="19"/>
      <c r="G737" s="37"/>
      <c r="H737" s="37"/>
      <c r="I737" s="37"/>
      <c r="J737" s="37"/>
    </row>
    <row r="738" spans="1:10" x14ac:dyDescent="0.25">
      <c r="A738" s="113"/>
      <c r="B738" s="113"/>
      <c r="C738" s="114"/>
      <c r="D738" s="131"/>
      <c r="E738" s="19"/>
      <c r="F738" s="19"/>
      <c r="G738" s="37"/>
      <c r="H738" s="37"/>
      <c r="I738" s="37"/>
      <c r="J738" s="37"/>
    </row>
    <row r="739" spans="1:10" x14ac:dyDescent="0.25">
      <c r="A739" s="113"/>
      <c r="B739" s="113"/>
      <c r="C739" s="114"/>
      <c r="D739" s="131"/>
      <c r="E739" s="19"/>
      <c r="F739" s="19"/>
      <c r="G739" s="37"/>
      <c r="H739" s="37"/>
      <c r="I739" s="37"/>
      <c r="J739" s="37"/>
    </row>
    <row r="740" spans="1:10" x14ac:dyDescent="0.25">
      <c r="A740" s="113"/>
      <c r="B740" s="113"/>
      <c r="C740" s="114"/>
      <c r="D740" s="131"/>
      <c r="E740" s="19"/>
      <c r="F740" s="19"/>
      <c r="G740" s="37"/>
      <c r="H740" s="37"/>
      <c r="I740" s="37"/>
      <c r="J740" s="37"/>
    </row>
    <row r="741" spans="1:10" x14ac:dyDescent="0.25">
      <c r="A741" s="113"/>
      <c r="B741" s="113"/>
      <c r="C741" s="114"/>
      <c r="D741" s="131"/>
      <c r="E741" s="19"/>
      <c r="F741" s="19"/>
      <c r="G741" s="37"/>
      <c r="H741" s="37"/>
      <c r="I741" s="37"/>
      <c r="J741" s="37"/>
    </row>
    <row r="742" spans="1:10" x14ac:dyDescent="0.25">
      <c r="A742" s="113"/>
      <c r="B742" s="113"/>
      <c r="C742" s="114"/>
      <c r="D742" s="131"/>
      <c r="E742" s="19"/>
      <c r="F742" s="19"/>
      <c r="G742" s="37"/>
      <c r="H742" s="37"/>
      <c r="I742" s="37"/>
      <c r="J742" s="37"/>
    </row>
    <row r="743" spans="1:10" x14ac:dyDescent="0.25">
      <c r="A743" s="113"/>
      <c r="B743" s="113"/>
      <c r="C743" s="114"/>
      <c r="D743" s="131"/>
      <c r="E743" s="19"/>
      <c r="F743" s="19"/>
      <c r="G743" s="37"/>
      <c r="H743" s="37"/>
      <c r="I743" s="37"/>
      <c r="J743" s="37"/>
    </row>
    <row r="744" spans="1:10" x14ac:dyDescent="0.25">
      <c r="A744" s="113"/>
      <c r="B744" s="113"/>
      <c r="C744" s="114"/>
      <c r="D744" s="131"/>
      <c r="E744" s="19"/>
      <c r="F744" s="19"/>
      <c r="G744" s="37"/>
      <c r="H744" s="37"/>
      <c r="I744" s="37"/>
      <c r="J744" s="37"/>
    </row>
    <row r="745" spans="1:10" x14ac:dyDescent="0.25">
      <c r="A745" s="113"/>
      <c r="B745" s="113"/>
      <c r="C745" s="114"/>
      <c r="D745" s="131"/>
      <c r="E745" s="19"/>
      <c r="F745" s="19"/>
      <c r="G745" s="37"/>
      <c r="H745" s="37"/>
      <c r="I745" s="37"/>
      <c r="J745" s="37"/>
    </row>
    <row r="746" spans="1:10" x14ac:dyDescent="0.25">
      <c r="A746" s="113"/>
      <c r="B746" s="113"/>
      <c r="C746" s="114"/>
      <c r="D746" s="131"/>
      <c r="E746" s="19"/>
      <c r="F746" s="19"/>
      <c r="G746" s="37"/>
      <c r="H746" s="37"/>
      <c r="I746" s="37"/>
      <c r="J746" s="37"/>
    </row>
    <row r="747" spans="1:10" x14ac:dyDescent="0.25">
      <c r="A747" s="113"/>
      <c r="B747" s="113"/>
      <c r="C747" s="114"/>
      <c r="D747" s="131"/>
      <c r="E747" s="19"/>
      <c r="F747" s="19"/>
      <c r="G747" s="37"/>
      <c r="H747" s="37"/>
      <c r="I747" s="37"/>
      <c r="J747" s="37"/>
    </row>
    <row r="748" spans="1:10" x14ac:dyDescent="0.25">
      <c r="A748" s="113"/>
      <c r="B748" s="113"/>
      <c r="C748" s="114"/>
      <c r="D748" s="131"/>
      <c r="E748" s="19"/>
      <c r="F748" s="19"/>
      <c r="G748" s="37"/>
      <c r="H748" s="37"/>
      <c r="I748" s="37"/>
      <c r="J748" s="37"/>
    </row>
    <row r="749" spans="1:10" x14ac:dyDescent="0.25">
      <c r="A749" s="113"/>
      <c r="B749" s="113"/>
      <c r="C749" s="114"/>
      <c r="D749" s="131"/>
      <c r="E749" s="19"/>
      <c r="F749" s="19"/>
      <c r="G749" s="37"/>
      <c r="H749" s="37"/>
      <c r="I749" s="37"/>
      <c r="J749" s="37"/>
    </row>
    <row r="750" spans="1:10" x14ac:dyDescent="0.25">
      <c r="A750" s="113"/>
      <c r="B750" s="113"/>
      <c r="C750" s="114"/>
      <c r="D750" s="131"/>
      <c r="E750" s="19"/>
      <c r="F750" s="19"/>
      <c r="G750" s="37"/>
      <c r="H750" s="37"/>
      <c r="I750" s="37"/>
      <c r="J750" s="37"/>
    </row>
    <row r="751" spans="1:10" x14ac:dyDescent="0.25">
      <c r="A751" s="113"/>
      <c r="B751" s="113"/>
      <c r="C751" s="114"/>
      <c r="D751" s="131"/>
      <c r="E751" s="19"/>
      <c r="F751" s="19"/>
      <c r="G751" s="37"/>
      <c r="H751" s="37"/>
      <c r="I751" s="37"/>
      <c r="J751" s="37"/>
    </row>
    <row r="752" spans="1:10" x14ac:dyDescent="0.25">
      <c r="A752" s="113"/>
      <c r="B752" s="113"/>
      <c r="C752" s="114"/>
      <c r="D752" s="131"/>
      <c r="E752" s="19"/>
      <c r="F752" s="19"/>
      <c r="G752" s="37"/>
      <c r="H752" s="37"/>
      <c r="I752" s="37"/>
      <c r="J752" s="37"/>
    </row>
    <row r="753" spans="1:10" x14ac:dyDescent="0.25">
      <c r="A753" s="113"/>
      <c r="B753" s="113"/>
      <c r="C753" s="114"/>
      <c r="D753" s="131"/>
      <c r="E753" s="19"/>
      <c r="F753" s="19"/>
      <c r="G753" s="37"/>
      <c r="H753" s="37"/>
      <c r="I753" s="37"/>
      <c r="J753" s="37"/>
    </row>
    <row r="754" spans="1:10" x14ac:dyDescent="0.25">
      <c r="A754" s="113"/>
      <c r="B754" s="113"/>
      <c r="C754" s="114"/>
      <c r="D754" s="131"/>
      <c r="E754" s="19"/>
      <c r="F754" s="19"/>
      <c r="G754" s="37"/>
      <c r="H754" s="37"/>
      <c r="I754" s="37"/>
      <c r="J754" s="37"/>
    </row>
    <row r="755" spans="1:10" x14ac:dyDescent="0.25">
      <c r="A755" s="113"/>
      <c r="B755" s="113"/>
      <c r="C755" s="114"/>
      <c r="D755" s="131"/>
      <c r="E755" s="19"/>
      <c r="F755" s="19"/>
      <c r="G755" s="37"/>
      <c r="H755" s="37"/>
      <c r="I755" s="37"/>
      <c r="J755" s="37"/>
    </row>
    <row r="756" spans="1:10" x14ac:dyDescent="0.25">
      <c r="A756" s="113"/>
      <c r="B756" s="113"/>
      <c r="C756" s="114"/>
      <c r="D756" s="131"/>
      <c r="E756" s="19"/>
      <c r="F756" s="19"/>
      <c r="G756" s="37"/>
      <c r="H756" s="37"/>
      <c r="I756" s="37"/>
      <c r="J756" s="37"/>
    </row>
    <row r="757" spans="1:10" x14ac:dyDescent="0.25">
      <c r="A757" s="113"/>
      <c r="B757" s="113"/>
      <c r="C757" s="114"/>
      <c r="D757" s="131"/>
      <c r="E757" s="19"/>
      <c r="F757" s="19"/>
      <c r="G757" s="37"/>
      <c r="H757" s="37"/>
      <c r="I757" s="37"/>
      <c r="J757" s="37"/>
    </row>
    <row r="758" spans="1:10" x14ac:dyDescent="0.25">
      <c r="A758" s="113"/>
      <c r="B758" s="113"/>
      <c r="C758" s="114"/>
      <c r="D758" s="131"/>
      <c r="E758" s="19"/>
      <c r="F758" s="19"/>
      <c r="G758" s="37"/>
      <c r="H758" s="37"/>
      <c r="I758" s="37"/>
      <c r="J758" s="37"/>
    </row>
    <row r="759" spans="1:10" x14ac:dyDescent="0.25">
      <c r="A759" s="113"/>
      <c r="B759" s="113"/>
      <c r="C759" s="114"/>
      <c r="D759" s="131"/>
      <c r="E759" s="19"/>
      <c r="F759" s="19"/>
      <c r="G759" s="37"/>
      <c r="H759" s="37"/>
      <c r="I759" s="37"/>
      <c r="J759" s="37"/>
    </row>
    <row r="760" spans="1:10" x14ac:dyDescent="0.25">
      <c r="A760" s="113"/>
      <c r="B760" s="113"/>
      <c r="C760" s="114"/>
      <c r="D760" s="131"/>
      <c r="E760" s="19"/>
      <c r="F760" s="19"/>
      <c r="G760" s="37"/>
      <c r="H760" s="37"/>
      <c r="I760" s="37"/>
      <c r="J760" s="37"/>
    </row>
    <row r="761" spans="1:10" x14ac:dyDescent="0.25">
      <c r="A761" s="113"/>
      <c r="B761" s="113"/>
      <c r="C761" s="114"/>
      <c r="D761" s="131"/>
      <c r="E761" s="19"/>
      <c r="F761" s="19"/>
      <c r="G761" s="37"/>
      <c r="H761" s="37"/>
      <c r="I761" s="37"/>
      <c r="J761" s="37"/>
    </row>
    <row r="762" spans="1:10" x14ac:dyDescent="0.25">
      <c r="A762" s="113"/>
      <c r="B762" s="113"/>
      <c r="C762" s="114"/>
      <c r="D762" s="131"/>
      <c r="E762" s="19"/>
      <c r="F762" s="19"/>
      <c r="G762" s="37"/>
      <c r="H762" s="37"/>
      <c r="I762" s="37"/>
      <c r="J762" s="37"/>
    </row>
    <row r="763" spans="1:10" x14ac:dyDescent="0.25">
      <c r="A763" s="113"/>
      <c r="B763" s="113"/>
      <c r="C763" s="114"/>
      <c r="D763" s="131"/>
      <c r="E763" s="19"/>
      <c r="F763" s="19"/>
      <c r="G763" s="37"/>
      <c r="H763" s="37"/>
      <c r="I763" s="37"/>
      <c r="J763" s="37"/>
    </row>
    <row r="764" spans="1:10" x14ac:dyDescent="0.25">
      <c r="A764" s="113"/>
      <c r="B764" s="113"/>
      <c r="C764" s="114"/>
      <c r="D764" s="131"/>
      <c r="E764" s="19"/>
      <c r="F764" s="19"/>
      <c r="G764" s="37"/>
      <c r="H764" s="37"/>
      <c r="I764" s="37"/>
      <c r="J764" s="37"/>
    </row>
    <row r="765" spans="1:10" x14ac:dyDescent="0.25">
      <c r="A765" s="113"/>
      <c r="B765" s="113"/>
      <c r="C765" s="114"/>
      <c r="D765" s="131"/>
      <c r="E765" s="19"/>
      <c r="F765" s="19"/>
      <c r="G765" s="37"/>
      <c r="H765" s="37"/>
      <c r="I765" s="37"/>
      <c r="J765" s="37"/>
    </row>
    <row r="766" spans="1:10" x14ac:dyDescent="0.25">
      <c r="A766" s="113"/>
      <c r="B766" s="113"/>
      <c r="C766" s="114"/>
      <c r="D766" s="131"/>
      <c r="E766" s="19"/>
      <c r="F766" s="19"/>
      <c r="G766" s="37"/>
      <c r="H766" s="37"/>
      <c r="I766" s="37"/>
      <c r="J766" s="37"/>
    </row>
    <row r="767" spans="1:10" x14ac:dyDescent="0.25">
      <c r="A767" s="113"/>
      <c r="B767" s="113"/>
      <c r="C767" s="114"/>
      <c r="D767" s="131"/>
      <c r="E767" s="19"/>
      <c r="F767" s="19"/>
      <c r="G767" s="37"/>
      <c r="H767" s="37"/>
      <c r="I767" s="37"/>
      <c r="J767" s="37"/>
    </row>
    <row r="768" spans="1:10" x14ac:dyDescent="0.25">
      <c r="A768" s="113"/>
      <c r="B768" s="113"/>
      <c r="C768" s="114"/>
      <c r="D768" s="131"/>
      <c r="E768" s="19"/>
      <c r="F768" s="19"/>
      <c r="G768" s="37"/>
      <c r="H768" s="37"/>
      <c r="I768" s="37"/>
      <c r="J768" s="37"/>
    </row>
    <row r="769" spans="1:10" x14ac:dyDescent="0.25">
      <c r="A769" s="113"/>
      <c r="B769" s="113"/>
      <c r="C769" s="114"/>
      <c r="D769" s="131"/>
      <c r="E769" s="19"/>
      <c r="F769" s="19"/>
      <c r="G769" s="37"/>
      <c r="H769" s="37"/>
      <c r="I769" s="37"/>
      <c r="J769" s="37"/>
    </row>
    <row r="770" spans="1:10" x14ac:dyDescent="0.25">
      <c r="A770" s="113"/>
      <c r="B770" s="113"/>
      <c r="C770" s="114"/>
      <c r="D770" s="131"/>
      <c r="E770" s="19"/>
      <c r="F770" s="19"/>
      <c r="G770" s="37"/>
      <c r="H770" s="37"/>
      <c r="I770" s="37"/>
      <c r="J770" s="37"/>
    </row>
    <row r="771" spans="1:10" x14ac:dyDescent="0.25">
      <c r="A771" s="113"/>
      <c r="B771" s="113"/>
      <c r="C771" s="114"/>
      <c r="D771" s="131"/>
      <c r="E771" s="19"/>
      <c r="F771" s="19"/>
      <c r="G771" s="37"/>
      <c r="H771" s="37"/>
      <c r="I771" s="37"/>
      <c r="J771" s="37"/>
    </row>
    <row r="772" spans="1:10" x14ac:dyDescent="0.25">
      <c r="A772" s="113"/>
      <c r="B772" s="113"/>
      <c r="C772" s="114"/>
      <c r="D772" s="131"/>
      <c r="E772" s="19"/>
      <c r="F772" s="19"/>
      <c r="G772" s="37"/>
      <c r="H772" s="37"/>
      <c r="I772" s="37"/>
      <c r="J772" s="37"/>
    </row>
    <row r="773" spans="1:10" x14ac:dyDescent="0.25">
      <c r="A773" s="113"/>
      <c r="B773" s="113"/>
      <c r="C773" s="114"/>
      <c r="D773" s="131"/>
      <c r="E773" s="19"/>
      <c r="F773" s="19"/>
      <c r="G773" s="37"/>
      <c r="H773" s="37"/>
      <c r="I773" s="37"/>
      <c r="J773" s="37"/>
    </row>
    <row r="774" spans="1:10" x14ac:dyDescent="0.25">
      <c r="A774" s="113"/>
      <c r="B774" s="113"/>
      <c r="C774" s="114"/>
      <c r="D774" s="131"/>
      <c r="E774" s="19"/>
      <c r="F774" s="19"/>
      <c r="G774" s="37"/>
      <c r="H774" s="37"/>
      <c r="I774" s="37"/>
      <c r="J774" s="37"/>
    </row>
    <row r="775" spans="1:10" x14ac:dyDescent="0.25">
      <c r="A775" s="113"/>
      <c r="B775" s="113"/>
      <c r="C775" s="114"/>
      <c r="D775" s="131"/>
      <c r="E775" s="19"/>
      <c r="F775" s="19"/>
      <c r="G775" s="37"/>
      <c r="H775" s="37"/>
      <c r="I775" s="37"/>
      <c r="J775" s="37"/>
    </row>
    <row r="776" spans="1:10" x14ac:dyDescent="0.25">
      <c r="A776" s="113"/>
      <c r="B776" s="113"/>
      <c r="C776" s="114"/>
      <c r="D776" s="131"/>
      <c r="E776" s="19"/>
      <c r="F776" s="19"/>
      <c r="G776" s="37"/>
      <c r="H776" s="37"/>
      <c r="I776" s="37"/>
      <c r="J776" s="37"/>
    </row>
    <row r="777" spans="1:10" x14ac:dyDescent="0.25">
      <c r="A777" s="113"/>
      <c r="B777" s="113"/>
      <c r="C777" s="114"/>
      <c r="D777" s="131"/>
      <c r="E777" s="19"/>
      <c r="F777" s="19"/>
      <c r="G777" s="37"/>
      <c r="H777" s="37"/>
      <c r="I777" s="37"/>
      <c r="J777" s="37"/>
    </row>
    <row r="778" spans="1:10" x14ac:dyDescent="0.25">
      <c r="A778" s="113"/>
      <c r="B778" s="113"/>
      <c r="C778" s="114"/>
      <c r="D778" s="131"/>
      <c r="E778" s="19"/>
      <c r="F778" s="19"/>
      <c r="G778" s="37"/>
      <c r="H778" s="37"/>
      <c r="I778" s="37"/>
      <c r="J778" s="37"/>
    </row>
    <row r="779" spans="1:10" x14ac:dyDescent="0.25">
      <c r="A779" s="113"/>
      <c r="B779" s="113"/>
      <c r="C779" s="114"/>
      <c r="D779" s="131"/>
      <c r="E779" s="19"/>
      <c r="F779" s="19"/>
      <c r="G779" s="37"/>
      <c r="H779" s="37"/>
      <c r="I779" s="37"/>
      <c r="J779" s="37"/>
    </row>
    <row r="780" spans="1:10" x14ac:dyDescent="0.25">
      <c r="A780" s="113"/>
      <c r="B780" s="113"/>
      <c r="C780" s="114"/>
      <c r="D780" s="131"/>
      <c r="E780" s="19"/>
      <c r="F780" s="19"/>
      <c r="G780" s="37"/>
      <c r="H780" s="37"/>
      <c r="I780" s="37"/>
      <c r="J780" s="37"/>
    </row>
    <row r="781" spans="1:10" x14ac:dyDescent="0.25">
      <c r="A781" s="113"/>
      <c r="B781" s="113"/>
      <c r="C781" s="114"/>
      <c r="D781" s="131"/>
      <c r="E781" s="19"/>
      <c r="F781" s="19"/>
      <c r="G781" s="37"/>
      <c r="H781" s="37"/>
      <c r="I781" s="37"/>
      <c r="J781" s="37"/>
    </row>
    <row r="782" spans="1:10" x14ac:dyDescent="0.25">
      <c r="A782" s="113"/>
      <c r="B782" s="113"/>
      <c r="C782" s="114"/>
      <c r="D782" s="131"/>
      <c r="E782" s="19"/>
      <c r="F782" s="19"/>
      <c r="G782" s="37"/>
      <c r="H782" s="37"/>
      <c r="I782" s="37"/>
      <c r="J782" s="37"/>
    </row>
    <row r="783" spans="1:10" x14ac:dyDescent="0.25">
      <c r="A783" s="113"/>
      <c r="B783" s="113"/>
      <c r="C783" s="114"/>
      <c r="D783" s="131"/>
      <c r="E783" s="19"/>
      <c r="F783" s="19"/>
      <c r="G783" s="37"/>
      <c r="H783" s="37"/>
      <c r="I783" s="37"/>
      <c r="J783" s="37"/>
    </row>
    <row r="784" spans="1:10" x14ac:dyDescent="0.25">
      <c r="A784" s="113"/>
      <c r="B784" s="113"/>
      <c r="C784" s="114"/>
      <c r="D784" s="131"/>
      <c r="E784" s="19"/>
      <c r="F784" s="19"/>
      <c r="G784" s="37"/>
      <c r="H784" s="37"/>
      <c r="I784" s="37"/>
      <c r="J784" s="37"/>
    </row>
    <row r="785" spans="1:10" x14ac:dyDescent="0.25">
      <c r="A785" s="113"/>
      <c r="B785" s="113"/>
      <c r="C785" s="114"/>
      <c r="D785" s="131"/>
      <c r="E785" s="19"/>
      <c r="F785" s="19"/>
      <c r="G785" s="37"/>
      <c r="H785" s="37"/>
      <c r="I785" s="37"/>
      <c r="J785" s="37"/>
    </row>
    <row r="786" spans="1:10" x14ac:dyDescent="0.25">
      <c r="A786" s="113"/>
      <c r="B786" s="113"/>
      <c r="C786" s="114"/>
      <c r="D786" s="131"/>
      <c r="E786" s="19"/>
      <c r="F786" s="19"/>
      <c r="G786" s="37"/>
      <c r="H786" s="37"/>
      <c r="I786" s="37"/>
      <c r="J786" s="37"/>
    </row>
    <row r="787" spans="1:10" x14ac:dyDescent="0.25">
      <c r="A787" s="113"/>
      <c r="B787" s="113"/>
      <c r="C787" s="114"/>
      <c r="D787" s="131"/>
      <c r="E787" s="19"/>
      <c r="F787" s="19"/>
      <c r="G787" s="37"/>
      <c r="H787" s="37"/>
      <c r="I787" s="37"/>
      <c r="J787" s="37"/>
    </row>
    <row r="788" spans="1:10" x14ac:dyDescent="0.25">
      <c r="A788" s="113"/>
      <c r="B788" s="113"/>
      <c r="C788" s="114"/>
      <c r="D788" s="131"/>
      <c r="E788" s="19"/>
      <c r="F788" s="19"/>
      <c r="G788" s="37"/>
      <c r="H788" s="37"/>
      <c r="I788" s="37"/>
      <c r="J788" s="37"/>
    </row>
    <row r="789" spans="1:10" x14ac:dyDescent="0.25">
      <c r="A789" s="113"/>
      <c r="B789" s="113"/>
      <c r="C789" s="114"/>
      <c r="D789" s="131"/>
      <c r="E789" s="19"/>
      <c r="F789" s="19"/>
      <c r="G789" s="37"/>
      <c r="H789" s="37"/>
      <c r="I789" s="37"/>
      <c r="J789" s="37"/>
    </row>
    <row r="790" spans="1:10" x14ac:dyDescent="0.25">
      <c r="A790" s="113"/>
      <c r="B790" s="113"/>
      <c r="C790" s="114"/>
      <c r="D790" s="131"/>
      <c r="E790" s="19"/>
      <c r="F790" s="19"/>
      <c r="G790" s="37"/>
      <c r="H790" s="37"/>
      <c r="I790" s="37"/>
      <c r="J790" s="37"/>
    </row>
    <row r="791" spans="1:10" x14ac:dyDescent="0.25">
      <c r="A791" s="113"/>
      <c r="B791" s="113"/>
      <c r="C791" s="114"/>
      <c r="D791" s="131"/>
      <c r="E791" s="19"/>
      <c r="F791" s="19"/>
      <c r="G791" s="37"/>
      <c r="H791" s="37"/>
      <c r="I791" s="37"/>
      <c r="J791" s="37"/>
    </row>
    <row r="792" spans="1:10" x14ac:dyDescent="0.25">
      <c r="A792" s="113"/>
      <c r="B792" s="113"/>
      <c r="C792" s="114"/>
      <c r="D792" s="131"/>
      <c r="E792" s="19"/>
      <c r="F792" s="19"/>
      <c r="G792" s="37"/>
      <c r="H792" s="37"/>
      <c r="I792" s="37"/>
      <c r="J792" s="37"/>
    </row>
    <row r="793" spans="1:10" x14ac:dyDescent="0.25">
      <c r="A793" s="113"/>
      <c r="B793" s="113"/>
      <c r="C793" s="114"/>
      <c r="D793" s="131"/>
      <c r="E793" s="19"/>
      <c r="F793" s="19"/>
      <c r="G793" s="37"/>
      <c r="H793" s="37"/>
      <c r="I793" s="37"/>
      <c r="J793" s="37"/>
    </row>
    <row r="794" spans="1:10" x14ac:dyDescent="0.25">
      <c r="A794" s="113"/>
      <c r="B794" s="113"/>
      <c r="C794" s="114"/>
      <c r="D794" s="131"/>
      <c r="E794" s="19"/>
      <c r="F794" s="19"/>
      <c r="G794" s="37"/>
      <c r="H794" s="37"/>
      <c r="I794" s="37"/>
      <c r="J794" s="37"/>
    </row>
    <row r="795" spans="1:10" x14ac:dyDescent="0.25">
      <c r="A795" s="113"/>
      <c r="B795" s="113"/>
      <c r="C795" s="114"/>
      <c r="D795" s="131"/>
      <c r="E795" s="19"/>
      <c r="F795" s="19"/>
      <c r="G795" s="37"/>
      <c r="H795" s="37"/>
      <c r="I795" s="37"/>
      <c r="J795" s="37"/>
    </row>
    <row r="796" spans="1:10" x14ac:dyDescent="0.25">
      <c r="A796" s="113"/>
      <c r="B796" s="113"/>
      <c r="C796" s="114"/>
      <c r="D796" s="131"/>
      <c r="E796" s="19"/>
      <c r="F796" s="19"/>
      <c r="G796" s="37"/>
      <c r="H796" s="37"/>
      <c r="I796" s="37"/>
      <c r="J796" s="37"/>
    </row>
    <row r="797" spans="1:10" x14ac:dyDescent="0.25">
      <c r="A797" s="113"/>
      <c r="B797" s="113"/>
      <c r="C797" s="114"/>
      <c r="D797" s="131"/>
      <c r="E797" s="19"/>
      <c r="F797" s="19"/>
      <c r="G797" s="37"/>
      <c r="H797" s="37"/>
      <c r="I797" s="37"/>
      <c r="J797" s="37"/>
    </row>
    <row r="798" spans="1:10" x14ac:dyDescent="0.25">
      <c r="A798" s="113"/>
      <c r="B798" s="113"/>
      <c r="C798" s="114"/>
      <c r="D798" s="131"/>
      <c r="E798" s="19"/>
      <c r="F798" s="19"/>
      <c r="G798" s="37"/>
      <c r="H798" s="37"/>
      <c r="I798" s="37"/>
      <c r="J798" s="37"/>
    </row>
    <row r="799" spans="1:10" x14ac:dyDescent="0.25">
      <c r="A799" s="113"/>
      <c r="B799" s="113"/>
      <c r="C799" s="114"/>
      <c r="D799" s="131"/>
      <c r="E799" s="19"/>
      <c r="F799" s="19"/>
      <c r="G799" s="37"/>
      <c r="H799" s="37"/>
      <c r="I799" s="37"/>
      <c r="J799" s="37"/>
    </row>
    <row r="800" spans="1:10" x14ac:dyDescent="0.25">
      <c r="A800" s="113"/>
      <c r="B800" s="113"/>
      <c r="C800" s="114"/>
      <c r="D800" s="131"/>
      <c r="E800" s="19"/>
      <c r="F800" s="19"/>
      <c r="G800" s="37"/>
      <c r="H800" s="37"/>
      <c r="I800" s="37"/>
      <c r="J800" s="37"/>
    </row>
    <row r="801" spans="1:10" x14ac:dyDescent="0.25">
      <c r="A801" s="113"/>
      <c r="B801" s="113"/>
      <c r="C801" s="114"/>
      <c r="D801" s="131"/>
      <c r="E801" s="19"/>
      <c r="F801" s="19"/>
      <c r="G801" s="37"/>
      <c r="H801" s="37"/>
      <c r="I801" s="37"/>
      <c r="J801" s="37"/>
    </row>
    <row r="802" spans="1:10" x14ac:dyDescent="0.25">
      <c r="A802" s="113"/>
      <c r="B802" s="113"/>
      <c r="C802" s="114"/>
      <c r="D802" s="131"/>
      <c r="E802" s="19"/>
      <c r="F802" s="19"/>
      <c r="G802" s="37"/>
      <c r="H802" s="37"/>
      <c r="I802" s="37"/>
      <c r="J802" s="37"/>
    </row>
    <row r="803" spans="1:10" x14ac:dyDescent="0.25">
      <c r="A803" s="113"/>
      <c r="B803" s="113"/>
      <c r="C803" s="114"/>
      <c r="D803" s="131"/>
      <c r="E803" s="19"/>
      <c r="F803" s="19"/>
      <c r="G803" s="37"/>
      <c r="H803" s="37"/>
      <c r="I803" s="37"/>
      <c r="J803" s="37"/>
    </row>
    <row r="804" spans="1:10" x14ac:dyDescent="0.25">
      <c r="A804" s="113"/>
      <c r="B804" s="113"/>
      <c r="C804" s="114"/>
      <c r="D804" s="131"/>
      <c r="E804" s="19"/>
      <c r="F804" s="19"/>
      <c r="G804" s="37"/>
      <c r="H804" s="37"/>
      <c r="I804" s="37"/>
      <c r="J804" s="37"/>
    </row>
    <row r="805" spans="1:10" x14ac:dyDescent="0.25">
      <c r="A805" s="113"/>
      <c r="B805" s="113"/>
      <c r="C805" s="114"/>
      <c r="D805" s="131"/>
      <c r="E805" s="19"/>
      <c r="F805" s="19"/>
      <c r="G805" s="37"/>
      <c r="H805" s="37"/>
      <c r="I805" s="37"/>
      <c r="J805" s="37"/>
    </row>
    <row r="806" spans="1:10" x14ac:dyDescent="0.25">
      <c r="A806" s="113"/>
      <c r="B806" s="113"/>
      <c r="C806" s="114"/>
      <c r="D806" s="131"/>
      <c r="E806" s="19"/>
      <c r="F806" s="19"/>
      <c r="G806" s="37"/>
      <c r="H806" s="37"/>
      <c r="I806" s="37"/>
      <c r="J806" s="37"/>
    </row>
    <row r="807" spans="1:10" x14ac:dyDescent="0.25">
      <c r="A807" s="113"/>
      <c r="B807" s="113"/>
      <c r="C807" s="114"/>
      <c r="D807" s="131"/>
      <c r="E807" s="19"/>
      <c r="F807" s="19"/>
      <c r="G807" s="37"/>
      <c r="H807" s="37"/>
      <c r="I807" s="37"/>
      <c r="J807" s="37"/>
    </row>
    <row r="808" spans="1:10" x14ac:dyDescent="0.25">
      <c r="A808" s="113"/>
      <c r="B808" s="113"/>
      <c r="C808" s="114"/>
      <c r="D808" s="131"/>
      <c r="E808" s="19"/>
      <c r="F808" s="19"/>
      <c r="G808" s="37"/>
      <c r="H808" s="37"/>
      <c r="I808" s="37"/>
      <c r="J808" s="37"/>
    </row>
    <row r="809" spans="1:10" x14ac:dyDescent="0.25">
      <c r="A809" s="113"/>
      <c r="B809" s="113"/>
      <c r="C809" s="114"/>
      <c r="D809" s="131"/>
      <c r="E809" s="19"/>
      <c r="F809" s="19"/>
      <c r="G809" s="37"/>
      <c r="H809" s="37"/>
      <c r="I809" s="37"/>
      <c r="J809" s="37"/>
    </row>
    <row r="810" spans="1:10" x14ac:dyDescent="0.25">
      <c r="A810" s="113"/>
      <c r="B810" s="113"/>
      <c r="C810" s="114"/>
      <c r="D810" s="131"/>
      <c r="E810" s="19"/>
      <c r="F810" s="19"/>
      <c r="G810" s="37"/>
      <c r="H810" s="37"/>
      <c r="I810" s="37"/>
      <c r="J810" s="37"/>
    </row>
    <row r="811" spans="1:10" x14ac:dyDescent="0.25">
      <c r="A811" s="113"/>
      <c r="B811" s="113"/>
      <c r="C811" s="114"/>
      <c r="D811" s="131"/>
      <c r="E811" s="19"/>
      <c r="F811" s="19"/>
      <c r="G811" s="37"/>
      <c r="H811" s="37"/>
      <c r="I811" s="37"/>
      <c r="J811" s="37"/>
    </row>
    <row r="812" spans="1:10" x14ac:dyDescent="0.25">
      <c r="A812" s="113"/>
      <c r="B812" s="113"/>
      <c r="C812" s="114"/>
      <c r="D812" s="131"/>
      <c r="E812" s="19"/>
      <c r="F812" s="19"/>
      <c r="G812" s="37"/>
      <c r="H812" s="37"/>
      <c r="I812" s="37"/>
      <c r="J812" s="37"/>
    </row>
    <row r="813" spans="1:10" x14ac:dyDescent="0.25">
      <c r="A813" s="113"/>
      <c r="B813" s="113"/>
      <c r="C813" s="114"/>
      <c r="D813" s="131"/>
      <c r="E813" s="19"/>
      <c r="F813" s="19"/>
      <c r="G813" s="37"/>
      <c r="H813" s="37"/>
      <c r="I813" s="37"/>
      <c r="J813" s="37"/>
    </row>
    <row r="814" spans="1:10" x14ac:dyDescent="0.25">
      <c r="A814" s="113"/>
      <c r="B814" s="113"/>
      <c r="C814" s="114"/>
      <c r="D814" s="131"/>
      <c r="E814" s="19"/>
      <c r="F814" s="19"/>
      <c r="G814" s="37"/>
      <c r="H814" s="37"/>
      <c r="I814" s="37"/>
      <c r="J814" s="37"/>
    </row>
    <row r="815" spans="1:10" x14ac:dyDescent="0.25">
      <c r="A815" s="113"/>
      <c r="B815" s="113"/>
      <c r="C815" s="114"/>
      <c r="D815" s="131"/>
      <c r="E815" s="19"/>
      <c r="F815" s="19"/>
      <c r="G815" s="37"/>
      <c r="H815" s="37"/>
      <c r="I815" s="37"/>
      <c r="J815" s="37"/>
    </row>
    <row r="816" spans="1:10" x14ac:dyDescent="0.25">
      <c r="A816" s="113"/>
      <c r="B816" s="113"/>
      <c r="C816" s="114"/>
      <c r="D816" s="131"/>
      <c r="E816" s="19"/>
      <c r="F816" s="19"/>
      <c r="G816" s="37"/>
      <c r="H816" s="37"/>
      <c r="I816" s="37"/>
      <c r="J816" s="37"/>
    </row>
    <row r="817" spans="1:10" x14ac:dyDescent="0.25">
      <c r="A817" s="113"/>
      <c r="B817" s="113"/>
      <c r="C817" s="114"/>
      <c r="D817" s="131"/>
      <c r="E817" s="19"/>
      <c r="F817" s="19"/>
      <c r="G817" s="37"/>
      <c r="H817" s="37"/>
      <c r="I817" s="37"/>
      <c r="J817" s="37"/>
    </row>
    <row r="818" spans="1:10" x14ac:dyDescent="0.25">
      <c r="A818" s="113"/>
      <c r="B818" s="113"/>
      <c r="C818" s="114"/>
      <c r="D818" s="131"/>
      <c r="E818" s="19"/>
      <c r="F818" s="19"/>
      <c r="G818" s="37"/>
      <c r="H818" s="37"/>
      <c r="I818" s="37"/>
      <c r="J818" s="37"/>
    </row>
    <row r="819" spans="1:10" x14ac:dyDescent="0.25">
      <c r="A819" s="113"/>
      <c r="B819" s="113"/>
      <c r="C819" s="114"/>
      <c r="D819" s="131"/>
      <c r="E819" s="19"/>
      <c r="F819" s="19"/>
      <c r="G819" s="37"/>
      <c r="H819" s="37"/>
      <c r="I819" s="37"/>
      <c r="J819" s="37"/>
    </row>
    <row r="820" spans="1:10" x14ac:dyDescent="0.25">
      <c r="A820" s="113"/>
      <c r="B820" s="113"/>
      <c r="C820" s="114"/>
      <c r="D820" s="131"/>
      <c r="E820" s="19"/>
      <c r="F820" s="19"/>
      <c r="G820" s="37"/>
      <c r="H820" s="37"/>
      <c r="I820" s="37"/>
      <c r="J820" s="37"/>
    </row>
    <row r="821" spans="1:10" x14ac:dyDescent="0.25">
      <c r="A821" s="113"/>
      <c r="B821" s="113"/>
      <c r="C821" s="114"/>
      <c r="D821" s="131"/>
      <c r="E821" s="19"/>
      <c r="F821" s="19"/>
      <c r="G821" s="37"/>
      <c r="H821" s="37"/>
      <c r="I821" s="37"/>
      <c r="J821" s="37"/>
    </row>
    <row r="822" spans="1:10" x14ac:dyDescent="0.25">
      <c r="A822" s="113"/>
      <c r="B822" s="113"/>
      <c r="C822" s="114"/>
      <c r="D822" s="131"/>
      <c r="E822" s="19"/>
      <c r="F822" s="19"/>
      <c r="G822" s="37"/>
      <c r="H822" s="37"/>
      <c r="I822" s="37"/>
      <c r="J822" s="37"/>
    </row>
    <row r="823" spans="1:10" x14ac:dyDescent="0.25">
      <c r="A823" s="113"/>
      <c r="B823" s="113"/>
      <c r="C823" s="114"/>
      <c r="D823" s="131"/>
      <c r="E823" s="19"/>
      <c r="F823" s="19"/>
      <c r="G823" s="37"/>
      <c r="H823" s="37"/>
      <c r="I823" s="37"/>
      <c r="J823" s="37"/>
    </row>
    <row r="824" spans="1:10" x14ac:dyDescent="0.25">
      <c r="A824" s="113"/>
      <c r="B824" s="113"/>
      <c r="C824" s="114"/>
      <c r="D824" s="131"/>
      <c r="E824" s="19"/>
      <c r="F824" s="19"/>
      <c r="G824" s="37"/>
      <c r="H824" s="37"/>
      <c r="I824" s="37"/>
      <c r="J824" s="37"/>
    </row>
    <row r="825" spans="1:10" x14ac:dyDescent="0.25">
      <c r="A825" s="113"/>
      <c r="B825" s="113"/>
      <c r="C825" s="114"/>
      <c r="D825" s="131"/>
      <c r="E825" s="19"/>
      <c r="F825" s="19"/>
      <c r="G825" s="37"/>
      <c r="H825" s="37"/>
      <c r="I825" s="37"/>
      <c r="J825" s="37"/>
    </row>
    <row r="826" spans="1:10" x14ac:dyDescent="0.25">
      <c r="A826" s="113"/>
      <c r="B826" s="113"/>
      <c r="C826" s="114"/>
      <c r="D826" s="131"/>
      <c r="E826" s="19"/>
      <c r="F826" s="19"/>
      <c r="G826" s="37"/>
      <c r="H826" s="37"/>
      <c r="I826" s="37"/>
      <c r="J826" s="37"/>
    </row>
    <row r="827" spans="1:10" x14ac:dyDescent="0.25">
      <c r="A827" s="113"/>
      <c r="B827" s="113"/>
      <c r="C827" s="114"/>
      <c r="D827" s="131"/>
      <c r="E827" s="19"/>
      <c r="F827" s="19"/>
      <c r="G827" s="37"/>
      <c r="H827" s="37"/>
      <c r="I827" s="37"/>
      <c r="J827" s="37"/>
    </row>
    <row r="828" spans="1:10" x14ac:dyDescent="0.25">
      <c r="A828" s="113"/>
      <c r="B828" s="113"/>
      <c r="C828" s="114"/>
      <c r="D828" s="131"/>
      <c r="E828" s="19"/>
      <c r="F828" s="19"/>
      <c r="G828" s="37"/>
      <c r="H828" s="37"/>
      <c r="I828" s="37"/>
      <c r="J828" s="37"/>
    </row>
    <row r="829" spans="1:10" x14ac:dyDescent="0.25">
      <c r="A829" s="113"/>
      <c r="B829" s="113"/>
      <c r="C829" s="114"/>
      <c r="D829" s="131"/>
      <c r="E829" s="19"/>
      <c r="F829" s="19"/>
      <c r="G829" s="37"/>
      <c r="H829" s="37"/>
      <c r="I829" s="37"/>
      <c r="J829" s="37"/>
    </row>
    <row r="830" spans="1:10" x14ac:dyDescent="0.25">
      <c r="A830" s="113"/>
      <c r="B830" s="113"/>
      <c r="C830" s="114"/>
      <c r="D830" s="131"/>
      <c r="E830" s="19"/>
      <c r="F830" s="19"/>
      <c r="G830" s="37"/>
      <c r="H830" s="37"/>
      <c r="I830" s="37"/>
      <c r="J830" s="37"/>
    </row>
    <row r="831" spans="1:10" x14ac:dyDescent="0.25">
      <c r="A831" s="113"/>
      <c r="B831" s="113"/>
      <c r="C831" s="114"/>
      <c r="D831" s="131"/>
      <c r="E831" s="19"/>
      <c r="F831" s="19"/>
      <c r="G831" s="37"/>
      <c r="H831" s="37"/>
      <c r="I831" s="37"/>
      <c r="J831" s="37"/>
    </row>
    <row r="832" spans="1:10" x14ac:dyDescent="0.25">
      <c r="A832" s="113"/>
      <c r="B832" s="113"/>
      <c r="C832" s="114"/>
      <c r="D832" s="131"/>
      <c r="E832" s="19"/>
      <c r="F832" s="19"/>
      <c r="G832" s="37"/>
      <c r="H832" s="37"/>
      <c r="I832" s="37"/>
      <c r="J832" s="37"/>
    </row>
    <row r="833" spans="1:10" x14ac:dyDescent="0.25">
      <c r="A833" s="113"/>
      <c r="B833" s="113"/>
      <c r="C833" s="114"/>
      <c r="D833" s="131"/>
      <c r="E833" s="19"/>
      <c r="F833" s="19"/>
      <c r="G833" s="37"/>
      <c r="H833" s="37"/>
      <c r="I833" s="37"/>
      <c r="J833" s="37"/>
    </row>
    <row r="834" spans="1:10" x14ac:dyDescent="0.25">
      <c r="A834" s="113"/>
      <c r="B834" s="113"/>
      <c r="C834" s="114"/>
      <c r="D834" s="131"/>
      <c r="E834" s="19"/>
      <c r="F834" s="19"/>
      <c r="G834" s="37"/>
      <c r="H834" s="37"/>
      <c r="I834" s="37"/>
      <c r="J834" s="37"/>
    </row>
    <row r="835" spans="1:10" x14ac:dyDescent="0.25">
      <c r="A835" s="113"/>
      <c r="B835" s="113"/>
      <c r="C835" s="114"/>
      <c r="D835" s="131"/>
      <c r="E835" s="19"/>
      <c r="F835" s="19"/>
      <c r="G835" s="37"/>
      <c r="H835" s="37"/>
      <c r="I835" s="37"/>
      <c r="J835" s="37"/>
    </row>
    <row r="836" spans="1:10" x14ac:dyDescent="0.25">
      <c r="A836" s="113"/>
      <c r="B836" s="113"/>
      <c r="C836" s="114"/>
      <c r="D836" s="131"/>
      <c r="E836" s="19"/>
      <c r="F836" s="19"/>
      <c r="G836" s="37"/>
      <c r="H836" s="37"/>
      <c r="I836" s="37"/>
      <c r="J836" s="37"/>
    </row>
    <row r="837" spans="1:10" x14ac:dyDescent="0.25">
      <c r="A837" s="113"/>
      <c r="B837" s="113"/>
      <c r="C837" s="114"/>
      <c r="D837" s="131"/>
      <c r="E837" s="19"/>
      <c r="F837" s="19"/>
      <c r="G837" s="37"/>
      <c r="H837" s="37"/>
      <c r="I837" s="37"/>
      <c r="J837" s="37"/>
    </row>
    <row r="838" spans="1:10" x14ac:dyDescent="0.25">
      <c r="A838" s="113"/>
      <c r="B838" s="113"/>
      <c r="C838" s="114"/>
      <c r="D838" s="131"/>
      <c r="E838" s="19"/>
      <c r="F838" s="19"/>
      <c r="G838" s="37"/>
      <c r="H838" s="37"/>
      <c r="I838" s="37"/>
      <c r="J838" s="37"/>
    </row>
    <row r="839" spans="1:10" x14ac:dyDescent="0.25">
      <c r="A839" s="113"/>
      <c r="B839" s="113"/>
      <c r="C839" s="114"/>
      <c r="D839" s="131"/>
      <c r="E839" s="19"/>
      <c r="F839" s="19"/>
      <c r="G839" s="37"/>
      <c r="H839" s="37"/>
      <c r="I839" s="37"/>
      <c r="J839" s="37"/>
    </row>
    <row r="840" spans="1:10" x14ac:dyDescent="0.25">
      <c r="A840" s="113"/>
      <c r="B840" s="113"/>
      <c r="C840" s="114"/>
      <c r="D840" s="131"/>
      <c r="E840" s="19"/>
      <c r="F840" s="19"/>
      <c r="G840" s="37"/>
      <c r="H840" s="37"/>
      <c r="I840" s="37"/>
      <c r="J840" s="37"/>
    </row>
    <row r="841" spans="1:10" x14ac:dyDescent="0.25">
      <c r="A841" s="113"/>
      <c r="B841" s="113"/>
      <c r="C841" s="114"/>
      <c r="D841" s="131"/>
      <c r="E841" s="19"/>
      <c r="F841" s="19"/>
      <c r="G841" s="37"/>
      <c r="H841" s="37"/>
      <c r="I841" s="37"/>
      <c r="J841" s="37"/>
    </row>
    <row r="842" spans="1:10" x14ac:dyDescent="0.25">
      <c r="A842" s="113"/>
      <c r="B842" s="113"/>
      <c r="C842" s="114"/>
      <c r="D842" s="131"/>
      <c r="E842" s="19"/>
      <c r="F842" s="19"/>
      <c r="G842" s="37"/>
      <c r="H842" s="37"/>
      <c r="I842" s="37"/>
      <c r="J842" s="37"/>
    </row>
    <row r="843" spans="1:10" x14ac:dyDescent="0.25">
      <c r="A843" s="113"/>
      <c r="B843" s="113"/>
      <c r="C843" s="114"/>
      <c r="D843" s="131"/>
      <c r="E843" s="19"/>
      <c r="F843" s="19"/>
      <c r="G843" s="37"/>
      <c r="H843" s="37"/>
      <c r="I843" s="37"/>
      <c r="J843" s="37"/>
    </row>
    <row r="844" spans="1:10" x14ac:dyDescent="0.25">
      <c r="A844" s="113"/>
      <c r="B844" s="113"/>
      <c r="C844" s="114"/>
      <c r="D844" s="131"/>
      <c r="E844" s="19"/>
      <c r="F844" s="19"/>
      <c r="G844" s="37"/>
      <c r="H844" s="37"/>
      <c r="I844" s="37"/>
      <c r="J844" s="37"/>
    </row>
    <row r="845" spans="1:10" x14ac:dyDescent="0.25">
      <c r="A845" s="113"/>
      <c r="B845" s="113"/>
      <c r="C845" s="114"/>
      <c r="D845" s="131"/>
      <c r="E845" s="19"/>
      <c r="F845" s="19"/>
      <c r="G845" s="37"/>
      <c r="H845" s="37"/>
      <c r="I845" s="37"/>
      <c r="J845" s="37"/>
    </row>
    <row r="846" spans="1:10" x14ac:dyDescent="0.25">
      <c r="A846" s="113"/>
      <c r="B846" s="113"/>
      <c r="C846" s="114"/>
      <c r="D846" s="131"/>
      <c r="E846" s="19"/>
      <c r="F846" s="19"/>
      <c r="G846" s="37"/>
      <c r="H846" s="37"/>
      <c r="I846" s="37"/>
      <c r="J846" s="37"/>
    </row>
    <row r="847" spans="1:10" x14ac:dyDescent="0.25">
      <c r="A847" s="113"/>
      <c r="B847" s="113"/>
      <c r="C847" s="114"/>
      <c r="D847" s="131"/>
      <c r="E847" s="19"/>
      <c r="F847" s="19"/>
      <c r="G847" s="37"/>
      <c r="H847" s="37"/>
      <c r="I847" s="37"/>
      <c r="J847" s="37"/>
    </row>
    <row r="848" spans="1:10" x14ac:dyDescent="0.25">
      <c r="A848" s="113"/>
      <c r="B848" s="113"/>
      <c r="C848" s="114"/>
      <c r="D848" s="131"/>
      <c r="E848" s="19"/>
      <c r="F848" s="19"/>
      <c r="G848" s="37"/>
      <c r="H848" s="37"/>
      <c r="I848" s="37"/>
      <c r="J848" s="37"/>
    </row>
    <row r="849" spans="1:10" x14ac:dyDescent="0.25">
      <c r="A849" s="113"/>
      <c r="B849" s="113"/>
      <c r="C849" s="114"/>
      <c r="D849" s="131"/>
      <c r="E849" s="19"/>
      <c r="F849" s="19"/>
      <c r="G849" s="37"/>
      <c r="H849" s="37"/>
      <c r="I849" s="37"/>
      <c r="J849" s="37"/>
    </row>
    <row r="850" spans="1:10" x14ac:dyDescent="0.25">
      <c r="A850" s="113"/>
      <c r="B850" s="113"/>
      <c r="C850" s="114"/>
      <c r="D850" s="131"/>
      <c r="E850" s="19"/>
      <c r="F850" s="19"/>
      <c r="G850" s="37"/>
      <c r="H850" s="37"/>
      <c r="I850" s="37"/>
      <c r="J850" s="37"/>
    </row>
    <row r="851" spans="1:10" x14ac:dyDescent="0.25">
      <c r="A851" s="113"/>
      <c r="B851" s="113"/>
      <c r="C851" s="114"/>
      <c r="D851" s="131"/>
      <c r="E851" s="19"/>
      <c r="F851" s="19"/>
      <c r="G851" s="37"/>
      <c r="H851" s="37"/>
      <c r="I851" s="37"/>
      <c r="J851" s="37"/>
    </row>
    <row r="852" spans="1:10" x14ac:dyDescent="0.25">
      <c r="A852" s="113"/>
      <c r="B852" s="113"/>
      <c r="C852" s="114"/>
      <c r="D852" s="131"/>
      <c r="E852" s="19"/>
      <c r="F852" s="19"/>
      <c r="G852" s="37"/>
      <c r="H852" s="37"/>
      <c r="I852" s="37"/>
      <c r="J852" s="37"/>
    </row>
    <row r="853" spans="1:10" x14ac:dyDescent="0.25">
      <c r="A853" s="113"/>
      <c r="B853" s="113"/>
      <c r="C853" s="114"/>
      <c r="D853" s="131"/>
      <c r="E853" s="19"/>
      <c r="F853" s="19"/>
      <c r="G853" s="37"/>
      <c r="H853" s="37"/>
      <c r="I853" s="37"/>
      <c r="J853" s="37"/>
    </row>
    <row r="854" spans="1:10" x14ac:dyDescent="0.25">
      <c r="A854" s="113"/>
      <c r="B854" s="113"/>
      <c r="C854" s="114"/>
      <c r="D854" s="131"/>
      <c r="E854" s="19"/>
      <c r="F854" s="19"/>
      <c r="G854" s="37"/>
      <c r="H854" s="37"/>
      <c r="I854" s="37"/>
      <c r="J854" s="37"/>
    </row>
    <row r="855" spans="1:10" x14ac:dyDescent="0.25">
      <c r="A855" s="113"/>
      <c r="B855" s="113"/>
      <c r="C855" s="114"/>
      <c r="D855" s="131"/>
      <c r="E855" s="19"/>
      <c r="F855" s="19"/>
      <c r="G855" s="37"/>
      <c r="H855" s="37"/>
      <c r="I855" s="37"/>
      <c r="J855" s="37"/>
    </row>
    <row r="856" spans="1:10" x14ac:dyDescent="0.25">
      <c r="A856" s="113"/>
      <c r="B856" s="113"/>
      <c r="C856" s="114"/>
      <c r="D856" s="131"/>
      <c r="E856" s="19"/>
      <c r="F856" s="19"/>
      <c r="G856" s="37"/>
      <c r="H856" s="37"/>
      <c r="I856" s="37"/>
      <c r="J856" s="37"/>
    </row>
    <row r="857" spans="1:10" x14ac:dyDescent="0.25">
      <c r="A857" s="113"/>
      <c r="B857" s="113"/>
      <c r="C857" s="114"/>
      <c r="D857" s="131"/>
      <c r="E857" s="19"/>
      <c r="F857" s="19"/>
      <c r="G857" s="37"/>
      <c r="H857" s="37"/>
      <c r="I857" s="37"/>
      <c r="J857" s="37"/>
    </row>
    <row r="858" spans="1:10" x14ac:dyDescent="0.25">
      <c r="A858" s="113"/>
      <c r="B858" s="113"/>
      <c r="C858" s="114"/>
      <c r="D858" s="131"/>
      <c r="E858" s="19"/>
      <c r="F858" s="19"/>
      <c r="G858" s="37"/>
      <c r="H858" s="37"/>
      <c r="I858" s="37"/>
      <c r="J858" s="37"/>
    </row>
    <row r="859" spans="1:10" x14ac:dyDescent="0.25">
      <c r="A859" s="113"/>
      <c r="B859" s="113"/>
      <c r="C859" s="114"/>
      <c r="D859" s="131"/>
      <c r="E859" s="19"/>
      <c r="F859" s="19"/>
      <c r="G859" s="37"/>
      <c r="H859" s="37"/>
      <c r="I859" s="37"/>
      <c r="J859" s="37"/>
    </row>
    <row r="860" spans="1:10" x14ac:dyDescent="0.25">
      <c r="A860" s="113"/>
      <c r="B860" s="113"/>
      <c r="C860" s="114"/>
      <c r="D860" s="131"/>
      <c r="E860" s="19"/>
      <c r="F860" s="19"/>
      <c r="G860" s="37"/>
      <c r="H860" s="37"/>
      <c r="I860" s="37"/>
      <c r="J860" s="37"/>
    </row>
    <row r="861" spans="1:10" x14ac:dyDescent="0.25">
      <c r="A861" s="113"/>
      <c r="B861" s="113"/>
      <c r="C861" s="114"/>
      <c r="D861" s="131"/>
      <c r="E861" s="19"/>
      <c r="F861" s="19"/>
      <c r="G861" s="37"/>
      <c r="H861" s="37"/>
      <c r="I861" s="37"/>
      <c r="J861" s="37"/>
    </row>
    <row r="862" spans="1:10" x14ac:dyDescent="0.25">
      <c r="A862" s="113"/>
      <c r="B862" s="113"/>
      <c r="C862" s="114"/>
      <c r="D862" s="131"/>
      <c r="E862" s="19"/>
      <c r="F862" s="19"/>
      <c r="G862" s="37"/>
      <c r="H862" s="37"/>
      <c r="I862" s="37"/>
      <c r="J862" s="37"/>
    </row>
    <row r="863" spans="1:10" x14ac:dyDescent="0.25">
      <c r="A863" s="113"/>
      <c r="B863" s="113"/>
      <c r="C863" s="114"/>
      <c r="D863" s="131"/>
      <c r="E863" s="19"/>
      <c r="F863" s="19"/>
      <c r="G863" s="37"/>
      <c r="H863" s="37"/>
      <c r="I863" s="37"/>
      <c r="J863" s="37"/>
    </row>
    <row r="864" spans="1:10" x14ac:dyDescent="0.25">
      <c r="A864" s="113"/>
      <c r="B864" s="113"/>
      <c r="C864" s="114"/>
      <c r="D864" s="131"/>
      <c r="E864" s="19"/>
      <c r="F864" s="19"/>
      <c r="G864" s="37"/>
      <c r="H864" s="37"/>
      <c r="I864" s="37"/>
      <c r="J864" s="37"/>
    </row>
    <row r="865" spans="1:10" x14ac:dyDescent="0.25">
      <c r="A865" s="113"/>
      <c r="B865" s="113"/>
      <c r="C865" s="114"/>
      <c r="D865" s="131"/>
      <c r="E865" s="19"/>
      <c r="F865" s="19"/>
      <c r="G865" s="37"/>
      <c r="H865" s="37"/>
      <c r="I865" s="37"/>
      <c r="J865" s="37"/>
    </row>
    <row r="866" spans="1:10" x14ac:dyDescent="0.25">
      <c r="A866" s="113"/>
      <c r="B866" s="113"/>
      <c r="C866" s="114"/>
      <c r="D866" s="131"/>
      <c r="E866" s="19"/>
      <c r="F866" s="19"/>
      <c r="G866" s="37"/>
      <c r="H866" s="37"/>
      <c r="I866" s="37"/>
      <c r="J866" s="37"/>
    </row>
    <row r="867" spans="1:10" x14ac:dyDescent="0.25">
      <c r="A867" s="113"/>
      <c r="B867" s="113"/>
      <c r="C867" s="114"/>
      <c r="D867" s="131"/>
      <c r="E867" s="19"/>
      <c r="F867" s="19"/>
      <c r="G867" s="37"/>
      <c r="H867" s="37"/>
      <c r="I867" s="37"/>
      <c r="J867" s="37"/>
    </row>
    <row r="868" spans="1:10" x14ac:dyDescent="0.25">
      <c r="A868" s="113"/>
      <c r="B868" s="113"/>
      <c r="C868" s="114"/>
      <c r="D868" s="131"/>
      <c r="E868" s="19"/>
      <c r="F868" s="19"/>
      <c r="G868" s="37"/>
      <c r="H868" s="37"/>
      <c r="I868" s="37"/>
      <c r="J868" s="37"/>
    </row>
    <row r="869" spans="1:10" x14ac:dyDescent="0.25">
      <c r="A869" s="113"/>
      <c r="B869" s="113"/>
      <c r="C869" s="114"/>
      <c r="D869" s="131"/>
      <c r="E869" s="19"/>
      <c r="F869" s="19"/>
      <c r="G869" s="37"/>
      <c r="H869" s="37"/>
      <c r="I869" s="37"/>
      <c r="J869" s="37"/>
    </row>
    <row r="870" spans="1:10" x14ac:dyDescent="0.25">
      <c r="A870" s="113"/>
      <c r="B870" s="113"/>
      <c r="C870" s="114"/>
      <c r="D870" s="131"/>
      <c r="E870" s="19"/>
      <c r="F870" s="19"/>
      <c r="G870" s="37"/>
      <c r="H870" s="37"/>
      <c r="I870" s="37"/>
      <c r="J870" s="37"/>
    </row>
    <row r="871" spans="1:10" x14ac:dyDescent="0.25">
      <c r="A871" s="113"/>
      <c r="B871" s="113"/>
      <c r="C871" s="114"/>
      <c r="D871" s="131"/>
      <c r="E871" s="19"/>
      <c r="F871" s="19"/>
      <c r="G871" s="37"/>
      <c r="H871" s="37"/>
      <c r="I871" s="37"/>
      <c r="J871" s="37"/>
    </row>
    <row r="872" spans="1:10" x14ac:dyDescent="0.25">
      <c r="A872" s="113"/>
      <c r="B872" s="113"/>
      <c r="C872" s="114"/>
      <c r="D872" s="131"/>
      <c r="E872" s="19"/>
      <c r="F872" s="19"/>
      <c r="G872" s="37"/>
      <c r="H872" s="37"/>
      <c r="I872" s="37"/>
      <c r="J872" s="37"/>
    </row>
    <row r="873" spans="1:10" x14ac:dyDescent="0.25">
      <c r="A873" s="113"/>
      <c r="B873" s="113"/>
      <c r="C873" s="114"/>
      <c r="D873" s="131"/>
      <c r="E873" s="19"/>
      <c r="F873" s="19"/>
      <c r="G873" s="37"/>
      <c r="H873" s="37"/>
      <c r="I873" s="37"/>
      <c r="J873" s="37"/>
    </row>
    <row r="874" spans="1:10" x14ac:dyDescent="0.25">
      <c r="A874" s="113"/>
      <c r="B874" s="113"/>
      <c r="C874" s="114"/>
      <c r="D874" s="131"/>
      <c r="E874" s="19"/>
      <c r="F874" s="19"/>
      <c r="G874" s="37"/>
      <c r="H874" s="37"/>
      <c r="I874" s="37"/>
      <c r="J874" s="37"/>
    </row>
    <row r="875" spans="1:10" x14ac:dyDescent="0.25">
      <c r="A875" s="113"/>
      <c r="B875" s="113"/>
      <c r="C875" s="114"/>
      <c r="D875" s="131"/>
      <c r="E875" s="19"/>
      <c r="F875" s="19"/>
      <c r="G875" s="37"/>
      <c r="H875" s="37"/>
      <c r="I875" s="37"/>
      <c r="J875" s="37"/>
    </row>
    <row r="876" spans="1:10" x14ac:dyDescent="0.25">
      <c r="A876" s="113"/>
      <c r="B876" s="113"/>
      <c r="C876" s="114"/>
      <c r="D876" s="131"/>
      <c r="E876" s="19"/>
      <c r="F876" s="19"/>
      <c r="G876" s="37"/>
      <c r="H876" s="37"/>
      <c r="I876" s="37"/>
      <c r="J876" s="37"/>
    </row>
    <row r="877" spans="1:10" x14ac:dyDescent="0.25">
      <c r="A877" s="113"/>
      <c r="B877" s="113"/>
      <c r="C877" s="114"/>
      <c r="D877" s="131"/>
      <c r="E877" s="19"/>
      <c r="F877" s="19"/>
      <c r="G877" s="37"/>
      <c r="H877" s="37"/>
      <c r="I877" s="37"/>
      <c r="J877" s="37"/>
    </row>
  </sheetData>
  <mergeCells count="107">
    <mergeCell ref="B324:B325"/>
    <mergeCell ref="B39:B41"/>
    <mergeCell ref="A1:C1"/>
    <mergeCell ref="B3:B5"/>
    <mergeCell ref="B6:B8"/>
    <mergeCell ref="B9:B12"/>
    <mergeCell ref="B13:B16"/>
    <mergeCell ref="B17:B19"/>
    <mergeCell ref="B20:B22"/>
    <mergeCell ref="B23:B26"/>
    <mergeCell ref="B27:B29"/>
    <mergeCell ref="B30:B34"/>
    <mergeCell ref="B35:B38"/>
    <mergeCell ref="B84:B89"/>
    <mergeCell ref="B42:B45"/>
    <mergeCell ref="B46:B49"/>
    <mergeCell ref="B50:B52"/>
    <mergeCell ref="B53:B54"/>
    <mergeCell ref="B55:B58"/>
    <mergeCell ref="B59:B60"/>
    <mergeCell ref="B61:B65"/>
    <mergeCell ref="B66:B69"/>
    <mergeCell ref="B70:B72"/>
    <mergeCell ref="B73:B75"/>
    <mergeCell ref="B76:B83"/>
    <mergeCell ref="B122:B124"/>
    <mergeCell ref="B90:B92"/>
    <mergeCell ref="B93:B95"/>
    <mergeCell ref="B96:B98"/>
    <mergeCell ref="B99:B101"/>
    <mergeCell ref="B102:B104"/>
    <mergeCell ref="B105:B107"/>
    <mergeCell ref="B108:B112"/>
    <mergeCell ref="B113:B114"/>
    <mergeCell ref="B115:B116"/>
    <mergeCell ref="B117:B121"/>
    <mergeCell ref="B149:B150"/>
    <mergeCell ref="B125:B126"/>
    <mergeCell ref="B127:B128"/>
    <mergeCell ref="B129:B131"/>
    <mergeCell ref="B132:B133"/>
    <mergeCell ref="B134:B135"/>
    <mergeCell ref="B136:B137"/>
    <mergeCell ref="B138:B139"/>
    <mergeCell ref="B140:B142"/>
    <mergeCell ref="B143:B144"/>
    <mergeCell ref="B145:B146"/>
    <mergeCell ref="B147:B148"/>
    <mergeCell ref="B188:B189"/>
    <mergeCell ref="B151:B153"/>
    <mergeCell ref="B154:B155"/>
    <mergeCell ref="B156:B158"/>
    <mergeCell ref="B159:B161"/>
    <mergeCell ref="B162:B165"/>
    <mergeCell ref="B166:B167"/>
    <mergeCell ref="B168:B170"/>
    <mergeCell ref="B171:B172"/>
    <mergeCell ref="B173:B175"/>
    <mergeCell ref="B176:B184"/>
    <mergeCell ref="B185:B187"/>
    <mergeCell ref="B222:B224"/>
    <mergeCell ref="B190:B192"/>
    <mergeCell ref="B196:B198"/>
    <mergeCell ref="B199:B201"/>
    <mergeCell ref="B202:B203"/>
    <mergeCell ref="B204:B207"/>
    <mergeCell ref="B208:B210"/>
    <mergeCell ref="B211:B214"/>
    <mergeCell ref="B215:B217"/>
    <mergeCell ref="B218:B219"/>
    <mergeCell ref="B220:B221"/>
    <mergeCell ref="B193:B195"/>
    <mergeCell ref="B254:B256"/>
    <mergeCell ref="B225:B226"/>
    <mergeCell ref="B227:B229"/>
    <mergeCell ref="B230:B231"/>
    <mergeCell ref="B232:B234"/>
    <mergeCell ref="B235:B236"/>
    <mergeCell ref="B237:B238"/>
    <mergeCell ref="B239:B241"/>
    <mergeCell ref="B242:B244"/>
    <mergeCell ref="B245:B247"/>
    <mergeCell ref="B248:B250"/>
    <mergeCell ref="B251:B253"/>
    <mergeCell ref="B274:B276"/>
    <mergeCell ref="B277:B283"/>
    <mergeCell ref="B284:B287"/>
    <mergeCell ref="B288:B290"/>
    <mergeCell ref="B257:B258"/>
    <mergeCell ref="B259:B260"/>
    <mergeCell ref="B261:B263"/>
    <mergeCell ref="B264:B266"/>
    <mergeCell ref="B267:B269"/>
    <mergeCell ref="B270:B273"/>
    <mergeCell ref="B314:B316"/>
    <mergeCell ref="B317:B321"/>
    <mergeCell ref="B322:B323"/>
    <mergeCell ref="B303:B304"/>
    <mergeCell ref="B305:B306"/>
    <mergeCell ref="B307:B308"/>
    <mergeCell ref="B309:B310"/>
    <mergeCell ref="B311:B313"/>
    <mergeCell ref="B291:B292"/>
    <mergeCell ref="B293:B294"/>
    <mergeCell ref="B295:B298"/>
    <mergeCell ref="B299:B300"/>
    <mergeCell ref="B301:B302"/>
  </mergeCells>
  <conditionalFormatting sqref="A6">
    <cfRule type="duplicateValues" dxfId="268" priority="257" stopIfTrue="1"/>
    <cfRule type="duplicateValues" dxfId="267" priority="258" stopIfTrue="1"/>
  </conditionalFormatting>
  <conditionalFormatting sqref="A6">
    <cfRule type="duplicateValues" dxfId="266" priority="256" stopIfTrue="1"/>
  </conditionalFormatting>
  <conditionalFormatting sqref="A7">
    <cfRule type="duplicateValues" dxfId="265" priority="254" stopIfTrue="1"/>
    <cfRule type="duplicateValues" dxfId="264" priority="255" stopIfTrue="1"/>
  </conditionalFormatting>
  <conditionalFormatting sqref="A7">
    <cfRule type="duplicateValues" dxfId="263" priority="253" stopIfTrue="1"/>
  </conditionalFormatting>
  <conditionalFormatting sqref="A8">
    <cfRule type="duplicateValues" dxfId="262" priority="251" stopIfTrue="1"/>
    <cfRule type="duplicateValues" dxfId="261" priority="252" stopIfTrue="1"/>
  </conditionalFormatting>
  <conditionalFormatting sqref="A8">
    <cfRule type="duplicateValues" dxfId="260" priority="250" stopIfTrue="1"/>
  </conditionalFormatting>
  <conditionalFormatting sqref="A48">
    <cfRule type="duplicateValues" dxfId="259" priority="248" stopIfTrue="1"/>
    <cfRule type="duplicateValues" dxfId="258" priority="249" stopIfTrue="1"/>
  </conditionalFormatting>
  <conditionalFormatting sqref="A48">
    <cfRule type="duplicateValues" dxfId="257" priority="247" stopIfTrue="1"/>
  </conditionalFormatting>
  <conditionalFormatting sqref="A47">
    <cfRule type="duplicateValues" dxfId="256" priority="245" stopIfTrue="1"/>
    <cfRule type="duplicateValues" dxfId="255" priority="246" stopIfTrue="1"/>
  </conditionalFormatting>
  <conditionalFormatting sqref="A47">
    <cfRule type="duplicateValues" dxfId="254" priority="244" stopIfTrue="1"/>
  </conditionalFormatting>
  <conditionalFormatting sqref="A46">
    <cfRule type="duplicateValues" dxfId="253" priority="242" stopIfTrue="1"/>
    <cfRule type="duplicateValues" dxfId="252" priority="243" stopIfTrue="1"/>
  </conditionalFormatting>
  <conditionalFormatting sqref="A46">
    <cfRule type="duplicateValues" dxfId="251" priority="241" stopIfTrue="1"/>
  </conditionalFormatting>
  <conditionalFormatting sqref="A49">
    <cfRule type="duplicateValues" dxfId="250" priority="239" stopIfTrue="1"/>
    <cfRule type="duplicateValues" dxfId="249" priority="240" stopIfTrue="1"/>
  </conditionalFormatting>
  <conditionalFormatting sqref="A49">
    <cfRule type="duplicateValues" dxfId="248" priority="238" stopIfTrue="1"/>
  </conditionalFormatting>
  <conditionalFormatting sqref="A50">
    <cfRule type="duplicateValues" dxfId="247" priority="236" stopIfTrue="1"/>
    <cfRule type="duplicateValues" dxfId="246" priority="237" stopIfTrue="1"/>
  </conditionalFormatting>
  <conditionalFormatting sqref="A50">
    <cfRule type="duplicateValues" dxfId="245" priority="235" stopIfTrue="1"/>
  </conditionalFormatting>
  <conditionalFormatting sqref="A52">
    <cfRule type="duplicateValues" dxfId="244" priority="233" stopIfTrue="1"/>
    <cfRule type="duplicateValues" dxfId="243" priority="234" stopIfTrue="1"/>
  </conditionalFormatting>
  <conditionalFormatting sqref="A52">
    <cfRule type="duplicateValues" dxfId="242" priority="232" stopIfTrue="1"/>
  </conditionalFormatting>
  <conditionalFormatting sqref="A60">
    <cfRule type="duplicateValues" dxfId="241" priority="230" stopIfTrue="1"/>
    <cfRule type="duplicateValues" dxfId="240" priority="231" stopIfTrue="1"/>
  </conditionalFormatting>
  <conditionalFormatting sqref="A60">
    <cfRule type="duplicateValues" dxfId="239" priority="229" stopIfTrue="1"/>
  </conditionalFormatting>
  <conditionalFormatting sqref="A59">
    <cfRule type="duplicateValues" dxfId="238" priority="227" stopIfTrue="1"/>
    <cfRule type="duplicateValues" dxfId="237" priority="228" stopIfTrue="1"/>
  </conditionalFormatting>
  <conditionalFormatting sqref="A59">
    <cfRule type="duplicateValues" dxfId="236" priority="226" stopIfTrue="1"/>
  </conditionalFormatting>
  <conditionalFormatting sqref="A92">
    <cfRule type="duplicateValues" dxfId="235" priority="224" stopIfTrue="1"/>
    <cfRule type="duplicateValues" dxfId="234" priority="225" stopIfTrue="1"/>
  </conditionalFormatting>
  <conditionalFormatting sqref="A92">
    <cfRule type="duplicateValues" dxfId="233" priority="223" stopIfTrue="1"/>
  </conditionalFormatting>
  <conditionalFormatting sqref="A91">
    <cfRule type="duplicateValues" dxfId="232" priority="221" stopIfTrue="1"/>
    <cfRule type="duplicateValues" dxfId="231" priority="222" stopIfTrue="1"/>
  </conditionalFormatting>
  <conditionalFormatting sqref="A91">
    <cfRule type="duplicateValues" dxfId="230" priority="220" stopIfTrue="1"/>
  </conditionalFormatting>
  <conditionalFormatting sqref="A90">
    <cfRule type="duplicateValues" dxfId="229" priority="218" stopIfTrue="1"/>
    <cfRule type="duplicateValues" dxfId="228" priority="219" stopIfTrue="1"/>
  </conditionalFormatting>
  <conditionalFormatting sqref="A90">
    <cfRule type="duplicateValues" dxfId="227" priority="217" stopIfTrue="1"/>
  </conditionalFormatting>
  <conditionalFormatting sqref="A93">
    <cfRule type="duplicateValues" dxfId="226" priority="215" stopIfTrue="1"/>
    <cfRule type="duplicateValues" dxfId="225" priority="216" stopIfTrue="1"/>
  </conditionalFormatting>
  <conditionalFormatting sqref="A93">
    <cfRule type="duplicateValues" dxfId="224" priority="214" stopIfTrue="1"/>
  </conditionalFormatting>
  <conditionalFormatting sqref="A95">
    <cfRule type="duplicateValues" dxfId="223" priority="212" stopIfTrue="1"/>
    <cfRule type="duplicateValues" dxfId="222" priority="213" stopIfTrue="1"/>
  </conditionalFormatting>
  <conditionalFormatting sqref="A95">
    <cfRule type="duplicateValues" dxfId="221" priority="211" stopIfTrue="1"/>
  </conditionalFormatting>
  <conditionalFormatting sqref="A98">
    <cfRule type="duplicateValues" dxfId="220" priority="209" stopIfTrue="1"/>
    <cfRule type="duplicateValues" dxfId="219" priority="210" stopIfTrue="1"/>
  </conditionalFormatting>
  <conditionalFormatting sqref="A98">
    <cfRule type="duplicateValues" dxfId="218" priority="208" stopIfTrue="1"/>
  </conditionalFormatting>
  <conditionalFormatting sqref="A100">
    <cfRule type="duplicateValues" dxfId="217" priority="206" stopIfTrue="1"/>
    <cfRule type="duplicateValues" dxfId="216" priority="207" stopIfTrue="1"/>
  </conditionalFormatting>
  <conditionalFormatting sqref="A100">
    <cfRule type="duplicateValues" dxfId="215" priority="205" stopIfTrue="1"/>
  </conditionalFormatting>
  <conditionalFormatting sqref="A99">
    <cfRule type="duplicateValues" dxfId="214" priority="203" stopIfTrue="1"/>
    <cfRule type="duplicateValues" dxfId="213" priority="204" stopIfTrue="1"/>
  </conditionalFormatting>
  <conditionalFormatting sqref="A99">
    <cfRule type="duplicateValues" dxfId="212" priority="202" stopIfTrue="1"/>
  </conditionalFormatting>
  <conditionalFormatting sqref="A101">
    <cfRule type="duplicateValues" dxfId="211" priority="200" stopIfTrue="1"/>
    <cfRule type="duplicateValues" dxfId="210" priority="201" stopIfTrue="1"/>
  </conditionalFormatting>
  <conditionalFormatting sqref="A101">
    <cfRule type="duplicateValues" dxfId="209" priority="199" stopIfTrue="1"/>
  </conditionalFormatting>
  <conditionalFormatting sqref="A136">
    <cfRule type="duplicateValues" dxfId="208" priority="197" stopIfTrue="1"/>
    <cfRule type="duplicateValues" dxfId="207" priority="198" stopIfTrue="1"/>
  </conditionalFormatting>
  <conditionalFormatting sqref="A136">
    <cfRule type="duplicateValues" dxfId="206" priority="196" stopIfTrue="1"/>
  </conditionalFormatting>
  <conditionalFormatting sqref="A133">
    <cfRule type="duplicateValues" dxfId="205" priority="194" stopIfTrue="1"/>
    <cfRule type="duplicateValues" dxfId="204" priority="195" stopIfTrue="1"/>
  </conditionalFormatting>
  <conditionalFormatting sqref="A133">
    <cfRule type="duplicateValues" dxfId="203" priority="193" stopIfTrue="1"/>
  </conditionalFormatting>
  <conditionalFormatting sqref="A128">
    <cfRule type="duplicateValues" dxfId="202" priority="191" stopIfTrue="1"/>
    <cfRule type="duplicateValues" dxfId="201" priority="192" stopIfTrue="1"/>
  </conditionalFormatting>
  <conditionalFormatting sqref="A128">
    <cfRule type="duplicateValues" dxfId="200" priority="190" stopIfTrue="1"/>
  </conditionalFormatting>
  <conditionalFormatting sqref="A125">
    <cfRule type="duplicateValues" dxfId="199" priority="188" stopIfTrue="1"/>
    <cfRule type="duplicateValues" dxfId="198" priority="189" stopIfTrue="1"/>
  </conditionalFormatting>
  <conditionalFormatting sqref="A125">
    <cfRule type="duplicateValues" dxfId="197" priority="187" stopIfTrue="1"/>
  </conditionalFormatting>
  <conditionalFormatting sqref="A104">
    <cfRule type="duplicateValues" dxfId="196" priority="185" stopIfTrue="1"/>
    <cfRule type="duplicateValues" dxfId="195" priority="186" stopIfTrue="1"/>
  </conditionalFormatting>
  <conditionalFormatting sqref="A104">
    <cfRule type="duplicateValues" dxfId="194" priority="184" stopIfTrue="1"/>
  </conditionalFormatting>
  <conditionalFormatting sqref="A89">
    <cfRule type="duplicateValues" dxfId="193" priority="182" stopIfTrue="1"/>
    <cfRule type="duplicateValues" dxfId="192" priority="183" stopIfTrue="1"/>
  </conditionalFormatting>
  <conditionalFormatting sqref="A89">
    <cfRule type="duplicateValues" dxfId="191" priority="181" stopIfTrue="1"/>
  </conditionalFormatting>
  <conditionalFormatting sqref="A37">
    <cfRule type="duplicateValues" dxfId="190" priority="179" stopIfTrue="1"/>
    <cfRule type="duplicateValues" dxfId="189" priority="180" stopIfTrue="1"/>
  </conditionalFormatting>
  <conditionalFormatting sqref="A37">
    <cfRule type="duplicateValues" dxfId="188" priority="178" stopIfTrue="1"/>
  </conditionalFormatting>
  <conditionalFormatting sqref="A38">
    <cfRule type="duplicateValues" dxfId="187" priority="176" stopIfTrue="1"/>
    <cfRule type="duplicateValues" dxfId="186" priority="177" stopIfTrue="1"/>
  </conditionalFormatting>
  <conditionalFormatting sqref="A38">
    <cfRule type="duplicateValues" dxfId="185" priority="175" stopIfTrue="1"/>
  </conditionalFormatting>
  <conditionalFormatting sqref="A96">
    <cfRule type="duplicateValues" dxfId="184" priority="173" stopIfTrue="1"/>
    <cfRule type="duplicateValues" dxfId="183" priority="174" stopIfTrue="1"/>
  </conditionalFormatting>
  <conditionalFormatting sqref="A96">
    <cfRule type="duplicateValues" dxfId="182" priority="172" stopIfTrue="1"/>
  </conditionalFormatting>
  <conditionalFormatting sqref="A94">
    <cfRule type="duplicateValues" dxfId="181" priority="170" stopIfTrue="1"/>
    <cfRule type="duplicateValues" dxfId="180" priority="171" stopIfTrue="1"/>
  </conditionalFormatting>
  <conditionalFormatting sqref="A94">
    <cfRule type="duplicateValues" dxfId="179" priority="169" stopIfTrue="1"/>
  </conditionalFormatting>
  <conditionalFormatting sqref="A97">
    <cfRule type="duplicateValues" dxfId="178" priority="167" stopIfTrue="1"/>
    <cfRule type="duplicateValues" dxfId="177" priority="168" stopIfTrue="1"/>
  </conditionalFormatting>
  <conditionalFormatting sqref="A97">
    <cfRule type="duplicateValues" dxfId="176" priority="166" stopIfTrue="1"/>
  </conditionalFormatting>
  <conditionalFormatting sqref="A139">
    <cfRule type="duplicateValues" dxfId="175" priority="164" stopIfTrue="1"/>
  </conditionalFormatting>
  <conditionalFormatting sqref="A139">
    <cfRule type="duplicateValues" dxfId="174" priority="165" stopIfTrue="1"/>
  </conditionalFormatting>
  <conditionalFormatting sqref="A142">
    <cfRule type="duplicateValues" dxfId="173" priority="162" stopIfTrue="1"/>
  </conditionalFormatting>
  <conditionalFormatting sqref="A142">
    <cfRule type="duplicateValues" dxfId="172" priority="163" stopIfTrue="1"/>
  </conditionalFormatting>
  <conditionalFormatting sqref="A143">
    <cfRule type="duplicateValues" dxfId="171" priority="160" stopIfTrue="1"/>
  </conditionalFormatting>
  <conditionalFormatting sqref="A143">
    <cfRule type="duplicateValues" dxfId="170" priority="161" stopIfTrue="1"/>
  </conditionalFormatting>
  <conditionalFormatting sqref="A144">
    <cfRule type="duplicateValues" dxfId="169" priority="158" stopIfTrue="1"/>
  </conditionalFormatting>
  <conditionalFormatting sqref="A144">
    <cfRule type="duplicateValues" dxfId="168" priority="159" stopIfTrue="1"/>
  </conditionalFormatting>
  <conditionalFormatting sqref="A145">
    <cfRule type="duplicateValues" dxfId="167" priority="156" stopIfTrue="1"/>
  </conditionalFormatting>
  <conditionalFormatting sqref="A145">
    <cfRule type="duplicateValues" dxfId="166" priority="157" stopIfTrue="1"/>
  </conditionalFormatting>
  <conditionalFormatting sqref="A146">
    <cfRule type="duplicateValues" dxfId="165" priority="154" stopIfTrue="1"/>
  </conditionalFormatting>
  <conditionalFormatting sqref="A146">
    <cfRule type="duplicateValues" dxfId="164" priority="155" stopIfTrue="1"/>
  </conditionalFormatting>
  <conditionalFormatting sqref="A147">
    <cfRule type="duplicateValues" dxfId="163" priority="152" stopIfTrue="1"/>
  </conditionalFormatting>
  <conditionalFormatting sqref="A147">
    <cfRule type="duplicateValues" dxfId="162" priority="153" stopIfTrue="1"/>
  </conditionalFormatting>
  <conditionalFormatting sqref="A148">
    <cfRule type="duplicateValues" dxfId="161" priority="150" stopIfTrue="1"/>
  </conditionalFormatting>
  <conditionalFormatting sqref="A148">
    <cfRule type="duplicateValues" dxfId="160" priority="151" stopIfTrue="1"/>
  </conditionalFormatting>
  <conditionalFormatting sqref="A35">
    <cfRule type="duplicateValues" dxfId="159" priority="259" stopIfTrue="1"/>
    <cfRule type="duplicateValues" dxfId="158" priority="260" stopIfTrue="1"/>
  </conditionalFormatting>
  <conditionalFormatting sqref="A35">
    <cfRule type="duplicateValues" dxfId="157" priority="261" stopIfTrue="1"/>
  </conditionalFormatting>
  <conditionalFormatting sqref="A36">
    <cfRule type="duplicateValues" dxfId="156" priority="262" stopIfTrue="1"/>
    <cfRule type="duplicateValues" dxfId="155" priority="263" stopIfTrue="1"/>
  </conditionalFormatting>
  <conditionalFormatting sqref="A36">
    <cfRule type="duplicateValues" dxfId="154" priority="264" stopIfTrue="1"/>
  </conditionalFormatting>
  <conditionalFormatting sqref="A1:A80 A84:A290 A326:A1048576">
    <cfRule type="duplicateValues" dxfId="153" priority="149"/>
  </conditionalFormatting>
  <conditionalFormatting sqref="A114">
    <cfRule type="duplicateValues" dxfId="152" priority="265" stopIfTrue="1"/>
    <cfRule type="duplicateValues" dxfId="151" priority="266" stopIfTrue="1"/>
  </conditionalFormatting>
  <conditionalFormatting sqref="A114">
    <cfRule type="duplicateValues" dxfId="150" priority="267" stopIfTrue="1"/>
  </conditionalFormatting>
  <conditionalFormatting sqref="A151:A153">
    <cfRule type="duplicateValues" dxfId="149" priority="147" stopIfTrue="1"/>
  </conditionalFormatting>
  <conditionalFormatting sqref="A151:A153">
    <cfRule type="duplicateValues" dxfId="148" priority="148" stopIfTrue="1"/>
  </conditionalFormatting>
  <conditionalFormatting sqref="A154:A155">
    <cfRule type="duplicateValues" dxfId="147" priority="145" stopIfTrue="1"/>
  </conditionalFormatting>
  <conditionalFormatting sqref="A154:A155">
    <cfRule type="duplicateValues" dxfId="146" priority="146" stopIfTrue="1"/>
  </conditionalFormatting>
  <conditionalFormatting sqref="A156:A158">
    <cfRule type="duplicateValues" dxfId="145" priority="143" stopIfTrue="1"/>
  </conditionalFormatting>
  <conditionalFormatting sqref="A156:A158">
    <cfRule type="duplicateValues" dxfId="144" priority="144" stopIfTrue="1"/>
  </conditionalFormatting>
  <conditionalFormatting sqref="A159:A160">
    <cfRule type="duplicateValues" dxfId="143" priority="142" stopIfTrue="1"/>
  </conditionalFormatting>
  <conditionalFormatting sqref="A160">
    <cfRule type="duplicateValues" dxfId="142" priority="141" stopIfTrue="1"/>
  </conditionalFormatting>
  <conditionalFormatting sqref="A161">
    <cfRule type="duplicateValues" dxfId="141" priority="139" stopIfTrue="1"/>
  </conditionalFormatting>
  <conditionalFormatting sqref="A161">
    <cfRule type="duplicateValues" dxfId="140" priority="140" stopIfTrue="1"/>
  </conditionalFormatting>
  <conditionalFormatting sqref="A121 A117:A119">
    <cfRule type="duplicateValues" dxfId="139" priority="137" stopIfTrue="1"/>
  </conditionalFormatting>
  <conditionalFormatting sqref="A121 A117:A119">
    <cfRule type="duplicateValues" dxfId="138" priority="138" stopIfTrue="1"/>
  </conditionalFormatting>
  <conditionalFormatting sqref="A120">
    <cfRule type="duplicateValues" dxfId="137" priority="135" stopIfTrue="1"/>
  </conditionalFormatting>
  <conditionalFormatting sqref="A120">
    <cfRule type="duplicateValues" dxfId="136" priority="136" stopIfTrue="1"/>
  </conditionalFormatting>
  <conditionalFormatting sqref="A108:A112">
    <cfRule type="duplicateValues" dxfId="135" priority="133" stopIfTrue="1"/>
  </conditionalFormatting>
  <conditionalFormatting sqref="A108:A112">
    <cfRule type="duplicateValues" dxfId="134" priority="134" stopIfTrue="1"/>
  </conditionalFormatting>
  <conditionalFormatting sqref="A112">
    <cfRule type="duplicateValues" dxfId="133" priority="131" stopIfTrue="1"/>
  </conditionalFormatting>
  <conditionalFormatting sqref="A112">
    <cfRule type="duplicateValues" dxfId="132" priority="132" stopIfTrue="1"/>
  </conditionalFormatting>
  <conditionalFormatting sqref="A196:A198">
    <cfRule type="duplicateValues" dxfId="131" priority="115" stopIfTrue="1"/>
  </conditionalFormatting>
  <conditionalFormatting sqref="A196:A198">
    <cfRule type="duplicateValues" dxfId="130" priority="116" stopIfTrue="1"/>
  </conditionalFormatting>
  <conditionalFormatting sqref="A199:A201">
    <cfRule type="duplicateValues" dxfId="129" priority="113" stopIfTrue="1"/>
  </conditionalFormatting>
  <conditionalFormatting sqref="A201 A199">
    <cfRule type="duplicateValues" dxfId="128" priority="114" stopIfTrue="1"/>
  </conditionalFormatting>
  <conditionalFormatting sqref="A202:A203">
    <cfRule type="duplicateValues" dxfId="127" priority="111" stopIfTrue="1"/>
  </conditionalFormatting>
  <conditionalFormatting sqref="A202:A203">
    <cfRule type="duplicateValues" dxfId="126" priority="112" stopIfTrue="1"/>
  </conditionalFormatting>
  <conditionalFormatting sqref="A204:A207">
    <cfRule type="duplicateValues" dxfId="125" priority="110" stopIfTrue="1"/>
  </conditionalFormatting>
  <conditionalFormatting sqref="A205:A207">
    <cfRule type="duplicateValues" dxfId="124" priority="109" stopIfTrue="1"/>
  </conditionalFormatting>
  <conditionalFormatting sqref="A208:A210">
    <cfRule type="duplicateValues" dxfId="123" priority="107" stopIfTrue="1"/>
  </conditionalFormatting>
  <conditionalFormatting sqref="A208:A210">
    <cfRule type="duplicateValues" dxfId="122" priority="108" stopIfTrue="1"/>
  </conditionalFormatting>
  <conditionalFormatting sqref="A211:A214">
    <cfRule type="duplicateValues" dxfId="121" priority="105" stopIfTrue="1"/>
  </conditionalFormatting>
  <conditionalFormatting sqref="A211:A214">
    <cfRule type="duplicateValues" dxfId="120" priority="106" stopIfTrue="1"/>
  </conditionalFormatting>
  <conditionalFormatting sqref="A217">
    <cfRule type="duplicateValues" dxfId="119" priority="99" stopIfTrue="1"/>
  </conditionalFormatting>
  <conditionalFormatting sqref="A217">
    <cfRule type="duplicateValues" dxfId="118" priority="100" stopIfTrue="1"/>
  </conditionalFormatting>
  <conditionalFormatting sqref="A217">
    <cfRule type="duplicateValues" dxfId="117" priority="101" stopIfTrue="1"/>
  </conditionalFormatting>
  <conditionalFormatting sqref="A217">
    <cfRule type="duplicateValues" dxfId="116" priority="102" stopIfTrue="1"/>
  </conditionalFormatting>
  <conditionalFormatting sqref="A218:A219">
    <cfRule type="duplicateValues" dxfId="115" priority="97" stopIfTrue="1"/>
  </conditionalFormatting>
  <conditionalFormatting sqref="A218:A219">
    <cfRule type="duplicateValues" dxfId="114" priority="98" stopIfTrue="1"/>
  </conditionalFormatting>
  <conditionalFormatting sqref="A220:A221">
    <cfRule type="duplicateValues" dxfId="113" priority="95" stopIfTrue="1"/>
  </conditionalFormatting>
  <conditionalFormatting sqref="A220:A221">
    <cfRule type="duplicateValues" dxfId="112" priority="96" stopIfTrue="1"/>
  </conditionalFormatting>
  <conditionalFormatting sqref="A222:A224">
    <cfRule type="duplicateValues" dxfId="111" priority="93" stopIfTrue="1"/>
  </conditionalFormatting>
  <conditionalFormatting sqref="A222:A224">
    <cfRule type="duplicateValues" dxfId="110" priority="94" stopIfTrue="1"/>
  </conditionalFormatting>
  <conditionalFormatting sqref="A223:A224">
    <cfRule type="duplicateValues" dxfId="109" priority="89" stopIfTrue="1"/>
  </conditionalFormatting>
  <conditionalFormatting sqref="A223:A224">
    <cfRule type="duplicateValues" dxfId="108" priority="90" stopIfTrue="1"/>
  </conditionalFormatting>
  <conditionalFormatting sqref="A223:A224">
    <cfRule type="duplicateValues" dxfId="107" priority="91" stopIfTrue="1"/>
  </conditionalFormatting>
  <conditionalFormatting sqref="A223:A224">
    <cfRule type="duplicateValues" dxfId="106" priority="92" stopIfTrue="1"/>
  </conditionalFormatting>
  <conditionalFormatting sqref="A225:A226">
    <cfRule type="duplicateValues" dxfId="105" priority="86" stopIfTrue="1"/>
  </conditionalFormatting>
  <conditionalFormatting sqref="A225:A226">
    <cfRule type="duplicateValues" dxfId="104" priority="87" stopIfTrue="1"/>
  </conditionalFormatting>
  <conditionalFormatting sqref="A227:A229">
    <cfRule type="duplicateValues" dxfId="103" priority="84" stopIfTrue="1"/>
  </conditionalFormatting>
  <conditionalFormatting sqref="A227:A229">
    <cfRule type="duplicateValues" dxfId="102" priority="85" stopIfTrue="1"/>
  </conditionalFormatting>
  <conditionalFormatting sqref="A232:A234">
    <cfRule type="duplicateValues" dxfId="101" priority="82" stopIfTrue="1"/>
  </conditionalFormatting>
  <conditionalFormatting sqref="A232:A234">
    <cfRule type="duplicateValues" dxfId="100" priority="83" stopIfTrue="1"/>
  </conditionalFormatting>
  <conditionalFormatting sqref="A237:A238">
    <cfRule type="duplicateValues" dxfId="99" priority="80" stopIfTrue="1"/>
  </conditionalFormatting>
  <conditionalFormatting sqref="A237:A238">
    <cfRule type="duplicateValues" dxfId="98" priority="81" stopIfTrue="1"/>
  </conditionalFormatting>
  <conditionalFormatting sqref="A241 A239">
    <cfRule type="duplicateValues" dxfId="97" priority="78" stopIfTrue="1"/>
  </conditionalFormatting>
  <conditionalFormatting sqref="A241 A239">
    <cfRule type="duplicateValues" dxfId="96" priority="79" stopIfTrue="1"/>
  </conditionalFormatting>
  <conditionalFormatting sqref="A240:A241">
    <cfRule type="duplicateValues" dxfId="95" priority="76" stopIfTrue="1"/>
  </conditionalFormatting>
  <conditionalFormatting sqref="A240:A241">
    <cfRule type="duplicateValues" dxfId="94" priority="77" stopIfTrue="1"/>
  </conditionalFormatting>
  <conditionalFormatting sqref="A241">
    <cfRule type="duplicateValues" dxfId="93" priority="74" stopIfTrue="1"/>
  </conditionalFormatting>
  <conditionalFormatting sqref="A241">
    <cfRule type="duplicateValues" dxfId="92" priority="75" stopIfTrue="1"/>
  </conditionalFormatting>
  <conditionalFormatting sqref="A245:A247">
    <cfRule type="duplicateValues" dxfId="91" priority="72" stopIfTrue="1"/>
  </conditionalFormatting>
  <conditionalFormatting sqref="A245:A247">
    <cfRule type="duplicateValues" dxfId="90" priority="73" stopIfTrue="1"/>
  </conditionalFormatting>
  <conditionalFormatting sqref="A248:A250">
    <cfRule type="duplicateValues" dxfId="89" priority="70" stopIfTrue="1"/>
  </conditionalFormatting>
  <conditionalFormatting sqref="A248:A250">
    <cfRule type="duplicateValues" dxfId="88" priority="71" stopIfTrue="1"/>
  </conditionalFormatting>
  <conditionalFormatting sqref="A250">
    <cfRule type="duplicateValues" dxfId="87" priority="66" stopIfTrue="1"/>
  </conditionalFormatting>
  <conditionalFormatting sqref="A250">
    <cfRule type="duplicateValues" dxfId="86" priority="67" stopIfTrue="1"/>
  </conditionalFormatting>
  <conditionalFormatting sqref="A250">
    <cfRule type="duplicateValues" dxfId="85" priority="68" stopIfTrue="1"/>
  </conditionalFormatting>
  <conditionalFormatting sqref="A250">
    <cfRule type="duplicateValues" dxfId="84" priority="69" stopIfTrue="1"/>
  </conditionalFormatting>
  <conditionalFormatting sqref="A251:A253">
    <cfRule type="duplicateValues" dxfId="83" priority="64" stopIfTrue="1"/>
  </conditionalFormatting>
  <conditionalFormatting sqref="A251:A253">
    <cfRule type="duplicateValues" dxfId="82" priority="65" stopIfTrue="1"/>
  </conditionalFormatting>
  <conditionalFormatting sqref="A254">
    <cfRule type="duplicateValues" dxfId="81" priority="62" stopIfTrue="1"/>
  </conditionalFormatting>
  <conditionalFormatting sqref="A254">
    <cfRule type="duplicateValues" dxfId="80" priority="63" stopIfTrue="1"/>
  </conditionalFormatting>
  <conditionalFormatting sqref="A255">
    <cfRule type="duplicateValues" dxfId="79" priority="60" stopIfTrue="1"/>
  </conditionalFormatting>
  <conditionalFormatting sqref="A255">
    <cfRule type="duplicateValues" dxfId="78" priority="61" stopIfTrue="1"/>
  </conditionalFormatting>
  <conditionalFormatting sqref="A256">
    <cfRule type="duplicateValues" dxfId="77" priority="58" stopIfTrue="1"/>
  </conditionalFormatting>
  <conditionalFormatting sqref="A256">
    <cfRule type="duplicateValues" dxfId="76" priority="59" stopIfTrue="1"/>
  </conditionalFormatting>
  <conditionalFormatting sqref="A261:A263">
    <cfRule type="duplicateValues" dxfId="75" priority="56" stopIfTrue="1"/>
  </conditionalFormatting>
  <conditionalFormatting sqref="A261:A263">
    <cfRule type="duplicateValues" dxfId="74" priority="57" stopIfTrue="1"/>
  </conditionalFormatting>
  <conditionalFormatting sqref="A267:A269">
    <cfRule type="duplicateValues" dxfId="73" priority="54" stopIfTrue="1"/>
  </conditionalFormatting>
  <conditionalFormatting sqref="A267:A269">
    <cfRule type="duplicateValues" dxfId="72" priority="55" stopIfTrue="1"/>
  </conditionalFormatting>
  <conditionalFormatting sqref="A270:A273">
    <cfRule type="duplicateValues" dxfId="71" priority="52" stopIfTrue="1"/>
  </conditionalFormatting>
  <conditionalFormatting sqref="A270:A273">
    <cfRule type="duplicateValues" dxfId="70" priority="53" stopIfTrue="1"/>
  </conditionalFormatting>
  <conditionalFormatting sqref="A273">
    <cfRule type="duplicateValues" dxfId="69" priority="48" stopIfTrue="1"/>
  </conditionalFormatting>
  <conditionalFormatting sqref="A273">
    <cfRule type="duplicateValues" dxfId="68" priority="49" stopIfTrue="1"/>
  </conditionalFormatting>
  <conditionalFormatting sqref="A273">
    <cfRule type="duplicateValues" dxfId="67" priority="50" stopIfTrue="1"/>
  </conditionalFormatting>
  <conditionalFormatting sqref="A273">
    <cfRule type="duplicateValues" dxfId="66" priority="51" stopIfTrue="1"/>
  </conditionalFormatting>
  <conditionalFormatting sqref="A274:A275">
    <cfRule type="duplicateValues" dxfId="65" priority="46" stopIfTrue="1"/>
  </conditionalFormatting>
  <conditionalFormatting sqref="A274:A275">
    <cfRule type="duplicateValues" dxfId="64" priority="47" stopIfTrue="1"/>
  </conditionalFormatting>
  <conditionalFormatting sqref="A276">
    <cfRule type="duplicateValues" dxfId="63" priority="44" stopIfTrue="1"/>
  </conditionalFormatting>
  <conditionalFormatting sqref="A276">
    <cfRule type="duplicateValues" dxfId="62" priority="45" stopIfTrue="1"/>
  </conditionalFormatting>
  <conditionalFormatting sqref="A277:A283">
    <cfRule type="duplicateValues" dxfId="61" priority="43" stopIfTrue="1"/>
  </conditionalFormatting>
  <conditionalFormatting sqref="A278:A283">
    <cfRule type="duplicateValues" dxfId="60" priority="42" stopIfTrue="1"/>
  </conditionalFormatting>
  <conditionalFormatting sqref="A284:A287">
    <cfRule type="duplicateValues" dxfId="59" priority="40" stopIfTrue="1"/>
  </conditionalFormatting>
  <conditionalFormatting sqref="A284:A287">
    <cfRule type="duplicateValues" dxfId="58" priority="41" stopIfTrue="1"/>
  </conditionalFormatting>
  <conditionalFormatting sqref="A285:A287">
    <cfRule type="duplicateValues" dxfId="57" priority="36" stopIfTrue="1"/>
  </conditionalFormatting>
  <conditionalFormatting sqref="A285:A287">
    <cfRule type="duplicateValues" dxfId="56" priority="37" stopIfTrue="1"/>
  </conditionalFormatting>
  <conditionalFormatting sqref="A285:A287">
    <cfRule type="duplicateValues" dxfId="55" priority="38" stopIfTrue="1"/>
  </conditionalFormatting>
  <conditionalFormatting sqref="A285:A287">
    <cfRule type="duplicateValues" dxfId="54" priority="39" stopIfTrue="1"/>
  </conditionalFormatting>
  <conditionalFormatting sqref="A230:A231">
    <cfRule type="duplicateValues" dxfId="53" priority="268" stopIfTrue="1"/>
  </conditionalFormatting>
  <conditionalFormatting sqref="A230:A231">
    <cfRule type="duplicateValues" dxfId="52" priority="269" stopIfTrue="1"/>
  </conditionalFormatting>
  <conditionalFormatting sqref="A51">
    <cfRule type="duplicateValues" dxfId="51" priority="270" stopIfTrue="1"/>
    <cfRule type="duplicateValues" dxfId="50" priority="271" stopIfTrue="1"/>
  </conditionalFormatting>
  <conditionalFormatting sqref="A51">
    <cfRule type="duplicateValues" dxfId="49" priority="272" stopIfTrue="1"/>
  </conditionalFormatting>
  <conditionalFormatting sqref="A264:A266">
    <cfRule type="duplicateValues" dxfId="48" priority="35"/>
  </conditionalFormatting>
  <conditionalFormatting sqref="A288:A290">
    <cfRule type="duplicateValues" dxfId="47" priority="34"/>
  </conditionalFormatting>
  <conditionalFormatting sqref="A235:A236">
    <cfRule type="duplicateValues" dxfId="46" priority="31" stopIfTrue="1"/>
  </conditionalFormatting>
  <conditionalFormatting sqref="A235:A236">
    <cfRule type="duplicateValues" dxfId="45" priority="32" stopIfTrue="1"/>
  </conditionalFormatting>
  <conditionalFormatting sqref="B235:B236">
    <cfRule type="duplicateValues" dxfId="44" priority="33"/>
  </conditionalFormatting>
  <conditionalFormatting sqref="A244 A242">
    <cfRule type="duplicateValues" dxfId="43" priority="273" stopIfTrue="1"/>
  </conditionalFormatting>
  <conditionalFormatting sqref="A244 A242">
    <cfRule type="duplicateValues" dxfId="42" priority="274" stopIfTrue="1"/>
  </conditionalFormatting>
  <conditionalFormatting sqref="B225:B234 B237:B250">
    <cfRule type="duplicateValues" dxfId="41" priority="275"/>
  </conditionalFormatting>
  <conditionalFormatting sqref="A243">
    <cfRule type="duplicateValues" dxfId="40" priority="276" stopIfTrue="1"/>
  </conditionalFormatting>
  <conditionalFormatting sqref="A243">
    <cfRule type="duplicateValues" dxfId="39" priority="277" stopIfTrue="1"/>
  </conditionalFormatting>
  <conditionalFormatting sqref="A257:A258">
    <cfRule type="duplicateValues" dxfId="38" priority="278" stopIfTrue="1"/>
  </conditionalFormatting>
  <conditionalFormatting sqref="A257:A258">
    <cfRule type="duplicateValues" dxfId="37" priority="279" stopIfTrue="1"/>
  </conditionalFormatting>
  <conditionalFormatting sqref="A129">
    <cfRule type="duplicateValues" dxfId="36" priority="29" stopIfTrue="1"/>
    <cfRule type="duplicateValues" dxfId="35" priority="30" stopIfTrue="1"/>
  </conditionalFormatting>
  <conditionalFormatting sqref="A129">
    <cfRule type="duplicateValues" dxfId="34" priority="28" stopIfTrue="1"/>
  </conditionalFormatting>
  <conditionalFormatting sqref="A129:A131">
    <cfRule type="duplicateValues" dxfId="33" priority="27"/>
  </conditionalFormatting>
  <conditionalFormatting sqref="B259:B260">
    <cfRule type="duplicateValues" dxfId="32" priority="24"/>
  </conditionalFormatting>
  <conditionalFormatting sqref="A259:A260">
    <cfRule type="duplicateValues" dxfId="31" priority="25" stopIfTrue="1"/>
  </conditionalFormatting>
  <conditionalFormatting sqref="A259:A260">
    <cfRule type="duplicateValues" dxfId="30" priority="26" stopIfTrue="1"/>
  </conditionalFormatting>
  <conditionalFormatting sqref="B267:B287 B251:B258 B261:B263">
    <cfRule type="duplicateValues" dxfId="29" priority="280"/>
  </conditionalFormatting>
  <conditionalFormatting sqref="A215:A217">
    <cfRule type="duplicateValues" dxfId="28" priority="284" stopIfTrue="1"/>
  </conditionalFormatting>
  <conditionalFormatting sqref="A215:A217">
    <cfRule type="duplicateValues" dxfId="27" priority="286" stopIfTrue="1"/>
  </conditionalFormatting>
  <conditionalFormatting sqref="B196:B224">
    <cfRule type="duplicateValues" dxfId="26" priority="288"/>
  </conditionalFormatting>
  <conditionalFormatting sqref="A107">
    <cfRule type="duplicateValues" dxfId="25" priority="22" stopIfTrue="1"/>
    <cfRule type="duplicateValues" dxfId="24" priority="23" stopIfTrue="1"/>
  </conditionalFormatting>
  <conditionalFormatting sqref="A107">
    <cfRule type="duplicateValues" dxfId="23" priority="21" stopIfTrue="1"/>
  </conditionalFormatting>
  <conditionalFormatting sqref="A99:A101">
    <cfRule type="duplicateValues" dxfId="22" priority="19" stopIfTrue="1"/>
    <cfRule type="duplicateValues" dxfId="21" priority="20" stopIfTrue="1"/>
  </conditionalFormatting>
  <conditionalFormatting sqref="A99:A101">
    <cfRule type="duplicateValues" dxfId="20" priority="18" stopIfTrue="1"/>
  </conditionalFormatting>
  <conditionalFormatting sqref="A76:A80">
    <cfRule type="duplicateValues" dxfId="19" priority="299" stopIfTrue="1"/>
  </conditionalFormatting>
  <conditionalFormatting sqref="A79:A80 A76:A77">
    <cfRule type="duplicateValues" dxfId="18" priority="301" stopIfTrue="1"/>
  </conditionalFormatting>
  <conditionalFormatting sqref="A79:A80">
    <cfRule type="duplicateValues" dxfId="17" priority="304" stopIfTrue="1"/>
  </conditionalFormatting>
  <conditionalFormatting sqref="A79:A80">
    <cfRule type="duplicateValues" dxfId="16" priority="306" stopIfTrue="1"/>
  </conditionalFormatting>
  <conditionalFormatting sqref="A81:A83">
    <cfRule type="duplicateValues" dxfId="15" priority="16"/>
  </conditionalFormatting>
  <conditionalFormatting sqref="A81:A83">
    <cfRule type="duplicateValues" dxfId="14" priority="17"/>
  </conditionalFormatting>
  <conditionalFormatting sqref="A291:A292">
    <cfRule type="duplicateValues" dxfId="13" priority="15"/>
  </conditionalFormatting>
  <conditionalFormatting sqref="A293">
    <cfRule type="duplicateValues" dxfId="12" priority="14"/>
  </conditionalFormatting>
  <conditionalFormatting sqref="A295:A298">
    <cfRule type="duplicateValues" dxfId="11" priority="13"/>
  </conditionalFormatting>
  <conditionalFormatting sqref="A299:A300">
    <cfRule type="duplicateValues" dxfId="10" priority="11"/>
  </conditionalFormatting>
  <conditionalFormatting sqref="A301">
    <cfRule type="duplicateValues" dxfId="9" priority="10"/>
  </conditionalFormatting>
  <conditionalFormatting sqref="A303:A304">
    <cfRule type="duplicateValues" dxfId="8" priority="9"/>
  </conditionalFormatting>
  <conditionalFormatting sqref="A305:A306">
    <cfRule type="duplicateValues" dxfId="7" priority="8"/>
  </conditionalFormatting>
  <conditionalFormatting sqref="A307:A308">
    <cfRule type="duplicateValues" dxfId="6" priority="7"/>
  </conditionalFormatting>
  <conditionalFormatting sqref="A309:A310">
    <cfRule type="duplicateValues" dxfId="5" priority="6"/>
  </conditionalFormatting>
  <conditionalFormatting sqref="A311:A313">
    <cfRule type="duplicateValues" dxfId="4" priority="5"/>
  </conditionalFormatting>
  <conditionalFormatting sqref="A314:A316">
    <cfRule type="duplicateValues" dxfId="3" priority="4"/>
  </conditionalFormatting>
  <conditionalFormatting sqref="A317:A321">
    <cfRule type="duplicateValues" dxfId="2" priority="3"/>
  </conditionalFormatting>
  <conditionalFormatting sqref="A322:A323">
    <cfRule type="duplicateValues" dxfId="1" priority="2"/>
  </conditionalFormatting>
  <conditionalFormatting sqref="A324:A325">
    <cfRule type="duplicateValues" dxfId="0" priority="1"/>
  </conditionalFormatting>
  <pageMargins left="0.7" right="0.7" top="0.75" bottom="0.75" header="0.3" footer="0.3"/>
  <pageSetup paperSize="9" orientation="portrait" verticalDpi="0" r:id="rId1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Privilege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 Amami</dc:creator>
  <cp:lastModifiedBy>khaoula RAJHI</cp:lastModifiedBy>
  <cp:lastPrinted>2022-04-05T12:51:13Z</cp:lastPrinted>
  <dcterms:created xsi:type="dcterms:W3CDTF">2020-08-21T10:21:35Z</dcterms:created>
  <dcterms:modified xsi:type="dcterms:W3CDTF">2025-03-04T12:09:25Z</dcterms:modified>
</cp:coreProperties>
</file>